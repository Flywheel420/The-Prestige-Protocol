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teractions (Full)" sheetId="1" state="visible" r:id="rId1"/>
    <sheet xmlns:r="http://schemas.openxmlformats.org/officeDocument/2006/relationships" name="Greg Interactions (All)" sheetId="2" state="visible" r:id="rId2"/>
    <sheet xmlns:r="http://schemas.openxmlformats.org/officeDocument/2006/relationships" name="Greg Posts (From Only)" sheetId="3" state="visible" r:id="rId3"/>
    <sheet xmlns:r="http://schemas.openxmlformats.org/officeDocument/2006/relationships" name="Trump Network" sheetId="4" state="visible" r:id="rId4"/>
    <sheet xmlns:r="http://schemas.openxmlformats.org/officeDocument/2006/relationships" name="a16z Core" sheetId="5" state="visible" r:id="rId5"/>
    <sheet xmlns:r="http://schemas.openxmlformats.org/officeDocument/2006/relationships" name="Art &amp; Symbolic Cluster" sheetId="6" state="visible" r:id="rId6"/>
    <sheet xmlns:r="http://schemas.openxmlformats.org/officeDocument/2006/relationships" name="Corporate &amp; Collectibles" sheetId="7" state="visible" r:id="rId7"/>
  </sheets>
  <definedNames>
    <definedName name="_xlnm._FilterDatabase" localSheetId="0" hidden="1">'All Interactions (Full)'!$A$1:$G$75</definedName>
    <definedName name="_xlnm._FilterDatabase" localSheetId="1" hidden="1">'Greg Interactions (All)'!$A$1:$G$15</definedName>
    <definedName name="_xlnm._FilterDatabase" localSheetId="2" hidden="1">'Greg Posts (From Only)'!$A$1:$G$13</definedName>
    <definedName name="_xlnm._FilterDatabase" localSheetId="3" hidden="1">'Trump Network'!$A$1:$G$50</definedName>
    <definedName name="_xlnm._FilterDatabase" localSheetId="4" hidden="1">'a16z Core'!$A$1:$G$1</definedName>
    <definedName name="_xlnm._FilterDatabase" localSheetId="5" hidden="1">'Art &amp; Symbolic Cluster'!$A$1:$G$15</definedName>
    <definedName name="_xlnm._FilterDatabase" localSheetId="6" hidden="1">'Corporate &amp; Collectibles'!$A$1:$G$17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32" customWidth="1" min="4" max="4"/>
    <col width="60" customWidth="1" min="5" max="5"/>
    <col width="58" customWidth="1" min="6" max="6"/>
    <col width="60" customWidth="1" min="7" max="7"/>
  </cols>
  <sheetData>
    <row r="1">
      <c r="A1" s="1" t="inlineStr">
        <is>
          <t>from_handle</t>
        </is>
      </c>
      <c r="B1" s="1" t="inlineStr">
        <is>
          <t>to_handle</t>
        </is>
      </c>
      <c r="C1" s="1" t="inlineStr">
        <is>
          <t>date</t>
        </is>
      </c>
      <c r="D1" s="2" t="inlineStr">
        <is>
          <t>subject</t>
        </is>
      </c>
      <c r="E1" s="2" t="inlineStr">
        <is>
          <t>tweet_text</t>
        </is>
      </c>
      <c r="F1" s="1" t="inlineStr">
        <is>
          <t>url</t>
        </is>
      </c>
      <c r="G1" s="1" t="inlineStr">
        <is>
          <t>link</t>
        </is>
      </c>
    </row>
    <row r="2">
      <c r="A2" t="inlineStr">
        <is>
          <t>@greg16676935420</t>
        </is>
      </c>
      <c r="B2" t="inlineStr">
        <is>
          <t>@elonmusk</t>
        </is>
      </c>
      <c r="C2" t="inlineStr">
        <is>
          <t>2025-11-02</t>
        </is>
      </c>
      <c r="D2" s="3" t="inlineStr">
        <is>
          <t>AI post</t>
        </is>
      </c>
      <c r="E2" s="3" t="inlineStr">
        <is>
          <t>I’ve been saying this for years</t>
        </is>
      </c>
      <c r="F2" t="inlineStr">
        <is>
          <t>https://x.com/greg16676935420/status/1985049943036616879</t>
        </is>
      </c>
      <c r="G2">
        <f>HYPERLINK("https://x.com/greg16676935420/status/1985049943036616879","open")</f>
        <v/>
      </c>
    </row>
    <row r="3">
      <c r="A3" t="inlineStr">
        <is>
          <t>@greg16676935420</t>
        </is>
      </c>
      <c r="B3" t="inlineStr">
        <is>
          <t>@elonmusk</t>
        </is>
      </c>
      <c r="C3" t="inlineStr">
        <is>
          <t>2025-10-31</t>
        </is>
      </c>
      <c r="D3" s="3" t="inlineStr">
        <is>
          <t>bot post</t>
        </is>
      </c>
      <c r="E3" s="3" t="inlineStr">
        <is>
          <t>Bro I’m about to go trick or treating why'd you have to drop this right now</t>
        </is>
      </c>
      <c r="F3" t="inlineStr">
        <is>
          <t>https://x.com/greg16676935420/status/1984280108312727868</t>
        </is>
      </c>
      <c r="G3">
        <f>HYPERLINK("https://x.com/greg16676935420/status/1984280108312727868","open")</f>
        <v/>
      </c>
    </row>
    <row r="4">
      <c r="A4" t="inlineStr">
        <is>
          <t>@greg16676935420</t>
        </is>
      </c>
      <c r="B4" t="inlineStr">
        <is>
          <t>@elonmusk</t>
        </is>
      </c>
      <c r="C4" t="inlineStr">
        <is>
          <t>2025-10-31</t>
        </is>
      </c>
      <c r="D4" s="3" t="inlineStr">
        <is>
          <t>vote post</t>
        </is>
      </c>
      <c r="E4" s="3" t="inlineStr">
        <is>
          <t>It seems like everyone is in favor of your big package Elon</t>
        </is>
      </c>
      <c r="F4" t="inlineStr">
        <is>
          <t>https://x.com/greg16676935420/status/1983638696206483907</t>
        </is>
      </c>
      <c r="G4">
        <f>HYPERLINK("https://x.com/greg16676935420/status/1983638696206483907","open")</f>
        <v/>
      </c>
    </row>
    <row r="5">
      <c r="A5" t="inlineStr">
        <is>
          <t>@greg16676935420</t>
        </is>
      </c>
      <c r="B5" t="inlineStr">
        <is>
          <t>@elonmusk</t>
        </is>
      </c>
      <c r="C5" t="inlineStr">
        <is>
          <t>2025-10-24</t>
        </is>
      </c>
      <c r="D5" s="3" t="inlineStr">
        <is>
          <t>algorithm post</t>
        </is>
      </c>
      <c r="E5" s="3" t="inlineStr">
        <is>
          <t>That explains why I’m not getting 1.2 million views on every post. Thanks Elon!</t>
        </is>
      </c>
      <c r="F5" t="inlineStr">
        <is>
          <t>https://x.com/greg16676935420/status/1982837368345538628</t>
        </is>
      </c>
      <c r="G5">
        <f>HYPERLINK("https://x.com/greg16676935420/status/1982837368345538628","open")</f>
        <v/>
      </c>
    </row>
    <row r="6">
      <c r="A6" t="inlineStr">
        <is>
          <t>@greg16676935420</t>
        </is>
      </c>
      <c r="B6" t="inlineStr">
        <is>
          <t>@ryancohen</t>
        </is>
      </c>
      <c r="C6" t="inlineStr">
        <is>
          <t>2025-10-23</t>
        </is>
      </c>
      <c r="D6" s="3" t="inlineStr">
        <is>
          <t>Mario Kart challenge</t>
        </is>
      </c>
      <c r="E6" s="3" t="inlineStr">
        <is>
          <t>Just turned on my N64 come on over</t>
        </is>
      </c>
      <c r="F6" t="inlineStr">
        <is>
          <t>https://x.com/greg16676935420/status/1981169595492028503</t>
        </is>
      </c>
      <c r="G6">
        <f>HYPERLINK("https://x.com/greg16676935420/status/1981169595492028503","open")</f>
        <v/>
      </c>
    </row>
    <row r="7">
      <c r="A7" t="inlineStr">
        <is>
          <t>@greg16676935420</t>
        </is>
      </c>
      <c r="B7" t="inlineStr">
        <is>
          <t>@elonmusk</t>
        </is>
      </c>
      <c r="C7" t="inlineStr">
        <is>
          <t>2025-10-22</t>
        </is>
      </c>
      <c r="D7" s="3" t="inlineStr">
        <is>
          <t>NASA post</t>
        </is>
      </c>
      <c r="E7" s="3" t="inlineStr">
        <is>
          <t>Hey @grok what do you think my IQ is?</t>
        </is>
      </c>
      <c r="F7" t="inlineStr">
        <is>
          <t>https://x.com/greg16676935420/status/1981053674043691345</t>
        </is>
      </c>
      <c r="G7">
        <f>HYPERLINK("https://x.com/greg16676935420/status/1981053674043691345","open")</f>
        <v/>
      </c>
    </row>
    <row r="8">
      <c r="A8" t="inlineStr">
        <is>
          <t>@greg16676935420</t>
        </is>
      </c>
      <c r="B8" t="inlineStr">
        <is>
          <t>@elonmusk</t>
        </is>
      </c>
      <c r="C8" t="inlineStr">
        <is>
          <t>2025-10-20</t>
        </is>
      </c>
      <c r="D8" s="3" t="inlineStr">
        <is>
          <t>X chat post</t>
        </is>
      </c>
      <c r="E8" s="3" t="inlineStr">
        <is>
          <t>Elon can you message me in 𝕏 chat I want to test something quick</t>
        </is>
      </c>
      <c r="F8" t="inlineStr">
        <is>
          <t>https://x.com/greg16676935420/status/1980349369741373451</t>
        </is>
      </c>
      <c r="G8">
        <f>HYPERLINK("https://x.com/greg16676935420/status/1980349369741373451","open")</f>
        <v/>
      </c>
    </row>
    <row r="9">
      <c r="A9" t="inlineStr">
        <is>
          <t>@greg16676935420</t>
        </is>
      </c>
      <c r="B9" t="inlineStr">
        <is>
          <t>@elonmusk</t>
        </is>
      </c>
      <c r="C9" t="inlineStr">
        <is>
          <t>2025-10-20</t>
        </is>
      </c>
      <c r="D9" s="3" t="inlineStr">
        <is>
          <t>Imagine post</t>
        </is>
      </c>
      <c r="E9" s="3" t="inlineStr">
        <is>
          <t>Would</t>
        </is>
      </c>
      <c r="F9" t="inlineStr">
        <is>
          <t>https://x.com/greg16676935420/status/1980338825718317510</t>
        </is>
      </c>
      <c r="G9">
        <f>HYPERLINK("https://x.com/greg16676935420/status/1980338825718317510","open")</f>
        <v/>
      </c>
    </row>
    <row r="10">
      <c r="A10" t="inlineStr">
        <is>
          <t>@JIMMYEDGAR</t>
        </is>
      </c>
      <c r="B10" t="inlineStr">
        <is>
          <t>@SHL0MS</t>
        </is>
      </c>
      <c r="C10" t="inlineStr">
        <is>
          <t>2025-10-18</t>
        </is>
      </c>
      <c r="D10" s="3" t="inlineStr">
        <is>
          <t>post</t>
        </is>
      </c>
      <c r="E10" s="3" t="inlineStr">
        <is>
          <t>it’s a tangled web we weave</t>
        </is>
      </c>
      <c r="F10" t="inlineStr">
        <is>
          <t>https://x.com/JIMMYEDGAR/status/1979698334836425107</t>
        </is>
      </c>
      <c r="G10">
        <f>HYPERLINK("https://x.com/JIMMYEDGAR/status/1979698334836425107","open")</f>
        <v/>
      </c>
    </row>
    <row r="11">
      <c r="A11" t="inlineStr">
        <is>
          <t>@JIMMYEDGAR</t>
        </is>
      </c>
      <c r="B11" t="inlineStr">
        <is>
          <t>@SHL0MS</t>
        </is>
      </c>
      <c r="C11" t="inlineStr">
        <is>
          <t>2025-10-18</t>
        </is>
      </c>
      <c r="D11" s="3" t="inlineStr">
        <is>
          <t>post</t>
        </is>
      </c>
      <c r="E11" s="3" t="inlineStr">
        <is>
          <t>one mind</t>
        </is>
      </c>
      <c r="F11" t="inlineStr">
        <is>
          <t>https://x.com/JIMMYEDGAR/status/1979697917092045158</t>
        </is>
      </c>
      <c r="G11">
        <f>HYPERLINK("https://x.com/JIMMYEDGAR/status/1979697917092045158","open")</f>
        <v/>
      </c>
    </row>
    <row r="12">
      <c r="A12" t="inlineStr">
        <is>
          <t>@SHL0MS</t>
        </is>
      </c>
      <c r="B12" t="inlineStr">
        <is>
          <t>@JIMMYEDGAR</t>
        </is>
      </c>
      <c r="C12" t="inlineStr">
        <is>
          <t>2025-10-18</t>
        </is>
      </c>
      <c r="D12" s="3" t="inlineStr">
        <is>
          <t>post</t>
        </is>
      </c>
      <c r="E12" s="3" t="inlineStr">
        <is>
          <t>(No text content)</t>
        </is>
      </c>
      <c r="F12" t="inlineStr">
        <is>
          <t>https://x.com/SHL0MS/status/1979698151859892716</t>
        </is>
      </c>
      <c r="G12">
        <f>HYPERLINK("https://x.com/SHL0MS/status/1979698151859892716","open")</f>
        <v/>
      </c>
    </row>
    <row r="13">
      <c r="A13" t="inlineStr">
        <is>
          <t>@JIMMYEDGAR</t>
        </is>
      </c>
      <c r="B13" t="inlineStr">
        <is>
          <t>@SHL0MS</t>
        </is>
      </c>
      <c r="C13" t="inlineStr">
        <is>
          <t>2025-10-17</t>
        </is>
      </c>
      <c r="D13" s="3" t="inlineStr">
        <is>
          <t>post</t>
        </is>
      </c>
      <c r="E13" s="3" t="inlineStr">
        <is>
          <t>besties</t>
        </is>
      </c>
      <c r="F13" t="inlineStr">
        <is>
          <t>https://x.com/JIMMYEDGAR/status/1979230450993201299</t>
        </is>
      </c>
      <c r="G13">
        <f>HYPERLINK("https://x.com/JIMMYEDGAR/status/1979230450993201299","open")</f>
        <v/>
      </c>
    </row>
    <row r="14">
      <c r="A14" t="inlineStr">
        <is>
          <t>@JIMMYEDGAR</t>
        </is>
      </c>
      <c r="B14" t="inlineStr">
        <is>
          <t>@SHL0MS</t>
        </is>
      </c>
      <c r="C14" t="inlineStr">
        <is>
          <t>2025-10-17</t>
        </is>
      </c>
      <c r="D14" s="3" t="inlineStr">
        <is>
          <t>post</t>
        </is>
      </c>
      <c r="E14" s="3" t="inlineStr">
        <is>
          <t>If I think of the 3 most culturally blockchain relevant artists in the world - it's obviously @jackbutcher @SHL0MS and jimmu</t>
        </is>
      </c>
      <c r="F14" t="inlineStr">
        <is>
          <t>https://x.com/JIMMYEDGAR/status/1979229973027131871</t>
        </is>
      </c>
      <c r="G14">
        <f>HYPERLINK("https://x.com/JIMMYEDGAR/status/1979229973027131871","open")</f>
        <v/>
      </c>
    </row>
    <row r="15">
      <c r="A15" t="inlineStr">
        <is>
          <t>@SHL0MS</t>
        </is>
      </c>
      <c r="B15" t="inlineStr">
        <is>
          <t>@JIMMYEDGAR</t>
        </is>
      </c>
      <c r="C15" t="inlineStr">
        <is>
          <t>2025-10-17</t>
        </is>
      </c>
      <c r="D15" s="3" t="inlineStr">
        <is>
          <t>post</t>
        </is>
      </c>
      <c r="E15" s="3" t="inlineStr">
        <is>
          <t>the Father</t>
        </is>
      </c>
      <c r="F15" t="inlineStr">
        <is>
          <t>https://x.com/SHL0MS/status/1979230589690552639</t>
        </is>
      </c>
      <c r="G15">
        <f>HYPERLINK("https://x.com/SHL0MS/status/1979230589690552639","open")</f>
        <v/>
      </c>
    </row>
    <row r="16">
      <c r="A16" t="inlineStr">
        <is>
          <t>@SHL0MS</t>
        </is>
      </c>
      <c r="B16" t="inlineStr">
        <is>
          <t>@JIMMYEDGAR</t>
        </is>
      </c>
      <c r="C16" t="inlineStr">
        <is>
          <t>2025-10-17</t>
        </is>
      </c>
      <c r="D16" s="3" t="inlineStr">
        <is>
          <t>post</t>
        </is>
      </c>
      <c r="E16" s="3" t="inlineStr">
        <is>
          <t>because they are pretty much a derivative of everyone else</t>
        </is>
      </c>
      <c r="F16" t="inlineStr">
        <is>
          <t>https://x.com/SHL0MS/status/1979230162924286172</t>
        </is>
      </c>
      <c r="G16">
        <f>HYPERLINK("https://x.com/SHL0MS/status/1979230162924286172","open")</f>
        <v/>
      </c>
    </row>
    <row r="17">
      <c r="A17" t="inlineStr">
        <is>
          <t>@greg16676935420</t>
        </is>
      </c>
      <c r="B17" t="inlineStr">
        <is>
          <t>@elonmusk</t>
        </is>
      </c>
      <c r="C17" t="inlineStr">
        <is>
          <t>2025-10-17</t>
        </is>
      </c>
      <c r="D17" s="3" t="inlineStr">
        <is>
          <t>Premium post</t>
        </is>
      </c>
      <c r="E17" s="3" t="inlineStr">
        <is>
          <t>Is this still happening @elonmusk?</t>
        </is>
      </c>
      <c r="F17" t="inlineStr">
        <is>
          <t>https://x.com/greg16676935420/status/1979236881192882270</t>
        </is>
      </c>
      <c r="G17">
        <f>HYPERLINK("https://x.com/greg16676935420/status/1979236881192882270","open")</f>
        <v/>
      </c>
    </row>
    <row r="18">
      <c r="A18" t="inlineStr">
        <is>
          <t>@EricTrump</t>
        </is>
      </c>
      <c r="B18" t="inlineStr">
        <is>
          <t>@elonmusk</t>
        </is>
      </c>
      <c r="C18" t="inlineStr">
        <is>
          <t>2025-10-09</t>
        </is>
      </c>
      <c r="D18" s="3" t="inlineStr">
        <is>
          <t>Trump post</t>
        </is>
      </c>
      <c r="E18" s="3" t="inlineStr">
        <is>
          <t>Elon represents the best of what we do as Americans better than anybody in the world — which is entrepreneurialism.</t>
        </is>
      </c>
      <c r="F18" t="inlineStr">
        <is>
          <t>https://x.com/EricTrump/status/1976069472885596381</t>
        </is>
      </c>
      <c r="G18">
        <f>HYPERLINK("https://x.com/EricTrump/status/1976069472885596381","open")</f>
        <v/>
      </c>
    </row>
    <row r="19">
      <c r="A19" t="inlineStr">
        <is>
          <t>@elonmusk</t>
        </is>
      </c>
      <c r="B19" t="inlineStr">
        <is>
          <t>@DonaldJTrumpJr</t>
        </is>
      </c>
      <c r="C19" t="inlineStr">
        <is>
          <t>2025-10-09</t>
        </is>
      </c>
      <c r="D19" s="3" t="inlineStr">
        <is>
          <t>Trump post</t>
        </is>
      </c>
      <c r="E19" s="3" t="inlineStr">
        <is>
          <t>❤️</t>
        </is>
      </c>
      <c r="F19" t="inlineStr">
        <is>
          <t>https://x.com/elonmusk/status/1976180302658822193</t>
        </is>
      </c>
      <c r="G19">
        <f>HYPERLINK("https://x.com/elonmusk/status/1976180302658822193","open")</f>
        <v/>
      </c>
    </row>
    <row r="20">
      <c r="A20" t="inlineStr">
        <is>
          <t>@larryvc</t>
        </is>
      </c>
      <c r="B20" t="inlineStr">
        <is>
          <t>@ryancohen</t>
        </is>
      </c>
      <c r="C20" t="inlineStr">
        <is>
          <t>2025-10-04</t>
        </is>
      </c>
      <c r="D20" s="3" t="inlineStr">
        <is>
          <t>Bitcoin post</t>
        </is>
      </c>
      <c r="E20" s="3" t="inlineStr">
        <is>
          <t>$GME</t>
        </is>
      </c>
      <c r="F20" t="inlineStr">
        <is>
          <t>https://x.com/larryvc/status/1974304963548623243</t>
        </is>
      </c>
      <c r="G20">
        <f>HYPERLINK("https://x.com/larryvc/status/1974304963548623243","open")</f>
        <v/>
      </c>
    </row>
    <row r="21">
      <c r="A21" t="inlineStr">
        <is>
          <t>@greg16676935420</t>
        </is>
      </c>
      <c r="B21" t="inlineStr">
        <is>
          <t>@elonmusk</t>
        </is>
      </c>
      <c r="C21" t="inlineStr">
        <is>
          <t>2025-10-01</t>
        </is>
      </c>
      <c r="D21" s="3" t="inlineStr">
        <is>
          <t>notification test</t>
        </is>
      </c>
      <c r="E21" s="3" t="inlineStr">
        <is>
          <t>I got the notification 3 minutes after you posted</t>
        </is>
      </c>
      <c r="F21" t="inlineStr">
        <is>
          <t>https://x.com/greg16676935420/status/1973518184750915604</t>
        </is>
      </c>
      <c r="G21">
        <f>HYPERLINK("https://x.com/greg16676935420/status/1973518184750915604","open")</f>
        <v/>
      </c>
    </row>
    <row r="22">
      <c r="A22" t="inlineStr">
        <is>
          <t>@greg16676935420</t>
        </is>
      </c>
      <c r="B22" t="inlineStr">
        <is>
          <t>@elonmusk</t>
        </is>
      </c>
      <c r="C22" t="inlineStr">
        <is>
          <t>2025-10-01</t>
        </is>
      </c>
      <c r="D22" s="3" t="inlineStr">
        <is>
          <t>bot post</t>
        </is>
      </c>
      <c r="E22" s="3" t="inlineStr">
        <is>
          <t>I thought only girls do that</t>
        </is>
      </c>
      <c r="F22" t="inlineStr">
        <is>
          <t>https://x.com/greg16676935420/status/1973512006729892316</t>
        </is>
      </c>
      <c r="G22">
        <f>HYPERLINK("https://x.com/greg16676935420/status/1973512006729892316","open")</f>
        <v/>
      </c>
    </row>
    <row r="23">
      <c r="A23" t="inlineStr">
        <is>
          <t>@elonmusk</t>
        </is>
      </c>
      <c r="B23" t="inlineStr">
        <is>
          <t>@DonaldJTrumpJr</t>
        </is>
      </c>
      <c r="C23" t="inlineStr">
        <is>
          <t>2025-09-16</t>
        </is>
      </c>
      <c r="D23" s="3" t="inlineStr">
        <is>
          <t>military post</t>
        </is>
      </c>
      <c r="E23" s="3" t="inlineStr">
        <is>
          <t>Insane</t>
        </is>
      </c>
      <c r="F23" t="inlineStr">
        <is>
          <t>https://x.com/elonmusk/status/1967944884553437268</t>
        </is>
      </c>
      <c r="G23">
        <f>HYPERLINK("https://x.com/elonmusk/status/1967944884553437268","open")</f>
        <v/>
      </c>
    </row>
    <row r="24">
      <c r="A24" t="inlineStr">
        <is>
          <t>@JIMMYEDGAR</t>
        </is>
      </c>
      <c r="B24" t="inlineStr">
        <is>
          <t>@SHL0MS</t>
        </is>
      </c>
      <c r="C24" t="inlineStr">
        <is>
          <t>2025-09-03</t>
        </is>
      </c>
      <c r="D24" s="3" t="inlineStr">
        <is>
          <t>post</t>
        </is>
      </c>
      <c r="E24" s="3" t="inlineStr">
        <is>
          <t>i wanna be one too</t>
        </is>
      </c>
      <c r="F24" t="inlineStr">
        <is>
          <t>https://x.com/JIMMYEDGAR/status/1979017443763732723</t>
        </is>
      </c>
      <c r="G24">
        <f>HYPERLINK("https://x.com/JIMMYEDGAR/status/1979017443763732723","open")</f>
        <v/>
      </c>
    </row>
    <row r="25">
      <c r="A25" t="inlineStr">
        <is>
          <t>@DonaldJTrumpJr</t>
        </is>
      </c>
      <c r="B25" t="inlineStr">
        <is>
          <t>@elonmusk</t>
        </is>
      </c>
      <c r="C25" t="inlineStr">
        <is>
          <t>2025-08-28</t>
        </is>
      </c>
      <c r="D25" s="3" t="inlineStr">
        <is>
          <t>America Party post</t>
        </is>
      </c>
      <c r="E25" s="3" t="inlineStr">
        <is>
          <t>So you’re telling me it will be out of the news in a few seconds. Only way it disappears faster is if he’s trans.</t>
        </is>
      </c>
      <c r="F25" t="inlineStr">
        <is>
          <t>https://x.com/DonaldJTrumpJr/status/1960749573670101006</t>
        </is>
      </c>
      <c r="G25">
        <f>HYPERLINK("https://x.com/DonaldJTrumpJr/status/1960749573670101006","open")</f>
        <v/>
      </c>
    </row>
    <row r="26">
      <c r="A26" t="inlineStr">
        <is>
          <t>@elonmusk</t>
        </is>
      </c>
      <c r="B26" t="inlineStr">
        <is>
          <t>@DonaldJTrumpJr</t>
        </is>
      </c>
      <c r="C26" t="inlineStr">
        <is>
          <t>2025-08-28</t>
        </is>
      </c>
      <c r="D26" s="3" t="inlineStr">
        <is>
          <t>scarcity post</t>
        </is>
      </c>
      <c r="E26" s="3" t="inlineStr">
        <is>
          <t>Violent crimes per capita by trans-identifying individuals is ~10 times higher than the overall population! Large doses of artificially-administered hormones are driving them to extreme violence and murder. These extreme hormone treatments should be withdrawn by the FDA.</t>
        </is>
      </c>
      <c r="F26" t="inlineStr">
        <is>
          <t>https://x.com/elonmusk/status/1961019671962112050</t>
        </is>
      </c>
      <c r="G26">
        <f>HYPERLINK("https://x.com/elonmusk/status/1961019671962112050","open")</f>
        <v/>
      </c>
    </row>
    <row r="27">
      <c r="A27" t="inlineStr">
        <is>
          <t>@greg16676935420</t>
        </is>
      </c>
      <c r="B27" t="inlineStr">
        <is>
          <t>@elonmusk</t>
        </is>
      </c>
      <c r="C27" t="inlineStr">
        <is>
          <t>2025-08-28</t>
        </is>
      </c>
      <c r="D27" s="3" t="inlineStr">
        <is>
          <t>showerhead post</t>
        </is>
      </c>
      <c r="E27" s="3" t="inlineStr">
        <is>
          <t>Did you watch the baseball game Elon?</t>
        </is>
      </c>
      <c r="F27" t="inlineStr">
        <is>
          <t>https://x.com/greg16676935420/status/1984851429975343603</t>
        </is>
      </c>
      <c r="G27">
        <f>HYPERLINK("https://x.com/greg16676935420/status/1984851429975343603","open")</f>
        <v/>
      </c>
    </row>
    <row r="28">
      <c r="A28" t="inlineStr">
        <is>
          <t>@DonaldJTrumpJr</t>
        </is>
      </c>
      <c r="B28" t="inlineStr">
        <is>
          <t>@Polymarket</t>
        </is>
      </c>
      <c r="C28" t="inlineStr">
        <is>
          <t>2025-08-26</t>
        </is>
      </c>
      <c r="D28" s="3" t="inlineStr">
        <is>
          <t>investment announcement</t>
        </is>
      </c>
      <c r="E28" s="3" t="inlineStr">
        <is>
          <t>Pleased to announce that my fund @1789capital has invested in @Polymarket and that I will be joining the team as a Strategic Advisor.</t>
        </is>
      </c>
      <c r="F28" t="inlineStr">
        <is>
          <t>https://x.com/DonaldJTrumpJr/status/1960367380724351416</t>
        </is>
      </c>
      <c r="G28">
        <f>HYPERLINK("https://x.com/DonaldJTrumpJr/status/1960367380724351416","open")</f>
        <v/>
      </c>
    </row>
    <row r="29">
      <c r="A29" t="inlineStr">
        <is>
          <t>@elonmusk</t>
        </is>
      </c>
      <c r="B29" t="inlineStr">
        <is>
          <t>@greg16676935420</t>
        </is>
      </c>
      <c r="C29" t="inlineStr">
        <is>
          <t>2025-08-15</t>
        </is>
      </c>
      <c r="D29" s="3" t="inlineStr">
        <is>
          <t>timeline post</t>
        </is>
      </c>
      <c r="E29" s="3" t="inlineStr">
        <is>
          <t>(video response)</t>
        </is>
      </c>
      <c r="F29" t="inlineStr">
        <is>
          <t>https://x.com/elonmusk/status/1956216649696338190</t>
        </is>
      </c>
      <c r="G29">
        <f>HYPERLINK("https://x.com/elonmusk/status/1956216649696338190","open")</f>
        <v/>
      </c>
    </row>
    <row r="30">
      <c r="A30" t="inlineStr">
        <is>
          <t>@elonmusk</t>
        </is>
      </c>
      <c r="B30" t="inlineStr">
        <is>
          <t>@greg16676935420</t>
        </is>
      </c>
      <c r="C30" t="inlineStr">
        <is>
          <t>2025-07-28</t>
        </is>
      </c>
      <c r="D30" s="3" t="inlineStr">
        <is>
          <t>bot challenge</t>
        </is>
      </c>
      <c r="E30" s="3" t="inlineStr">
        <is>
          <t>🎯😂</t>
        </is>
      </c>
      <c r="F30" t="inlineStr">
        <is>
          <t>https://x.com/elonmusk/status/1949937098322233583</t>
        </is>
      </c>
      <c r="G30">
        <f>HYPERLINK("https://x.com/elonmusk/status/1949937098322233583","open")</f>
        <v/>
      </c>
    </row>
    <row r="31">
      <c r="A31" t="inlineStr">
        <is>
          <t>@saylor</t>
        </is>
      </c>
      <c r="B31" t="inlineStr">
        <is>
          <t>@ryancohen</t>
        </is>
      </c>
      <c r="C31" t="inlineStr">
        <is>
          <t>2025-07-14</t>
        </is>
      </c>
      <c r="D31" s="3" t="inlineStr">
        <is>
          <t>Bitcoin price post</t>
        </is>
      </c>
      <c r="E31" s="3" t="inlineStr">
        <is>
          <t>A ₿uying Opportunity</t>
        </is>
      </c>
      <c r="F31" t="inlineStr">
        <is>
          <t>https://x.com/saylor/status/1944558457589211552</t>
        </is>
      </c>
      <c r="G31">
        <f>HYPERLINK("https://x.com/saylor/status/1944558457589211552","open")</f>
        <v/>
      </c>
    </row>
    <row r="32">
      <c r="A32" t="inlineStr">
        <is>
          <t>@SHL0MS</t>
        </is>
      </c>
      <c r="B32" t="inlineStr">
        <is>
          <t>@JIMMYEDGAR</t>
        </is>
      </c>
      <c r="C32" t="inlineStr">
        <is>
          <t>2025-07-13</t>
        </is>
      </c>
      <c r="D32" s="3" t="inlineStr">
        <is>
          <t>post</t>
        </is>
      </c>
      <c r="E32" s="3" t="inlineStr">
        <is>
          <t>also sad about the good art that will never be conceived</t>
        </is>
      </c>
      <c r="F32" t="inlineStr">
        <is>
          <t>https://x.com/SHL0MS/status/1944191496908890318</t>
        </is>
      </c>
      <c r="G32">
        <f>HYPERLINK("https://x.com/SHL0MS/status/1944191496908890318","open")</f>
        <v/>
      </c>
    </row>
    <row r="33">
      <c r="A33" t="inlineStr">
        <is>
          <t>@natsturner</t>
        </is>
      </c>
      <c r="B33" t="inlineStr">
        <is>
          <t>@ryancohen</t>
        </is>
      </c>
      <c r="C33" t="inlineStr">
        <is>
          <t>2025-07-09</t>
        </is>
      </c>
      <c r="D33" s="3" t="inlineStr">
        <is>
          <t>auction post</t>
        </is>
      </c>
      <c r="E33" s="3" t="inlineStr">
        <is>
          <t>would grade anything @ryancohen touches</t>
        </is>
      </c>
      <c r="F33" t="inlineStr">
        <is>
          <t>https://x.com/natsturner/status/1943065656443760956</t>
        </is>
      </c>
      <c r="G33">
        <f>HYPERLINK("https://x.com/natsturner/status/1943065656443760956","open")</f>
        <v/>
      </c>
    </row>
    <row r="34">
      <c r="A34" t="inlineStr">
        <is>
          <t>@JIMMYEDGAR</t>
        </is>
      </c>
      <c r="B34" t="inlineStr">
        <is>
          <t>@SHL0MS</t>
        </is>
      </c>
      <c r="C34" t="inlineStr">
        <is>
          <t>2025-07-04</t>
        </is>
      </c>
      <c r="D34" s="3" t="inlineStr">
        <is>
          <t>post</t>
        </is>
      </c>
      <c r="E34" s="3" t="inlineStr">
        <is>
          <t>do me</t>
        </is>
      </c>
      <c r="F34" t="inlineStr">
        <is>
          <t>https://x.com/JIMMYEDGAR/status/1940938622209085761</t>
        </is>
      </c>
      <c r="G34">
        <f>HYPERLINK("https://x.com/JIMMYEDGAR/status/1940938622209085761","open")</f>
        <v/>
      </c>
    </row>
    <row r="35">
      <c r="A35" t="inlineStr">
        <is>
          <t>@SHL0MS</t>
        </is>
      </c>
      <c r="B35" t="inlineStr">
        <is>
          <t>@JIMMYEDGAR</t>
        </is>
      </c>
      <c r="C35" t="inlineStr">
        <is>
          <t>2025-07-04</t>
        </is>
      </c>
      <c r="D35" s="3" t="inlineStr">
        <is>
          <t>post</t>
        </is>
      </c>
      <c r="E35" s="3" t="inlineStr">
        <is>
          <t>guy who starts a DAO no one fully understands and their followers type yeehu" for unknown reasons"</t>
        </is>
      </c>
      <c r="F35" t="inlineStr">
        <is>
          <t>https://x.com/SHL0MS/status/1940943597517656565</t>
        </is>
      </c>
      <c r="G35">
        <f>HYPERLINK("https://x.com/SHL0MS/status/1940943597517656565","open")</f>
        <v/>
      </c>
    </row>
    <row r="36">
      <c r="A36" t="inlineStr">
        <is>
          <t>@JIMMYEDGAR</t>
        </is>
      </c>
      <c r="B36" t="inlineStr">
        <is>
          <t>@SHL0MS</t>
        </is>
      </c>
      <c r="C36" t="inlineStr">
        <is>
          <t>2025-07-02</t>
        </is>
      </c>
      <c r="D36" s="3" t="inlineStr">
        <is>
          <t>post</t>
        </is>
      </c>
      <c r="E36" s="3" t="inlineStr">
        <is>
          <t>there is something in this</t>
        </is>
      </c>
      <c r="F36" t="inlineStr">
        <is>
          <t>https://x.com/JIMMYEDGAR/status/1940553657533321680</t>
        </is>
      </c>
      <c r="G36">
        <f>HYPERLINK("https://x.com/JIMMYEDGAR/status/1940553657533321680","open")</f>
        <v/>
      </c>
    </row>
    <row r="37">
      <c r="A37" t="inlineStr">
        <is>
          <t>@JIMMYEDGAR</t>
        </is>
      </c>
      <c r="B37" t="inlineStr">
        <is>
          <t>@SHL0MS</t>
        </is>
      </c>
      <c r="C37" t="inlineStr">
        <is>
          <t>2025-06-11</t>
        </is>
      </c>
      <c r="D37" s="3" t="inlineStr">
        <is>
          <t>post</t>
        </is>
      </c>
      <c r="E37" s="3" t="inlineStr">
        <is>
          <t>shl0ms ftw</t>
        </is>
      </c>
      <c r="F37" t="inlineStr">
        <is>
          <t>https://x.com/JIMMYEDGAR/status/1979230589690552639</t>
        </is>
      </c>
      <c r="G37">
        <f>HYPERLINK("https://x.com/JIMMYEDGAR/status/1979230589690552639","open")</f>
        <v/>
      </c>
    </row>
    <row r="38">
      <c r="A38" t="inlineStr">
        <is>
          <t>@JIMMYEDGAR</t>
        </is>
      </c>
      <c r="B38" t="inlineStr">
        <is>
          <t>@SHL0MS</t>
        </is>
      </c>
      <c r="C38" t="inlineStr">
        <is>
          <t>2025-06-11</t>
        </is>
      </c>
      <c r="D38" s="3" t="inlineStr">
        <is>
          <t>post</t>
        </is>
      </c>
      <c r="E38" s="3" t="inlineStr">
        <is>
          <t>virgo vibes</t>
        </is>
      </c>
      <c r="F38" t="inlineStr">
        <is>
          <t>https://x.com/JIMMYEDGAR/status/1932936560036470866</t>
        </is>
      </c>
      <c r="G38">
        <f>HYPERLINK("https://x.com/JIMMYEDGAR/status/1932936560036470866","open")</f>
        <v/>
      </c>
    </row>
    <row r="39">
      <c r="A39" t="inlineStr">
        <is>
          <t>@elonmusk</t>
        </is>
      </c>
      <c r="B39" t="inlineStr">
        <is>
          <t>@DonaldJTrumpJr</t>
        </is>
      </c>
      <c r="C39" t="inlineStr">
        <is>
          <t>2025-05-16</t>
        </is>
      </c>
      <c r="D39" s="3" t="inlineStr">
        <is>
          <t>Comey post</t>
        </is>
      </c>
      <c r="E39" s="3" t="inlineStr">
        <is>
          <t>Advocating murder of the President is a serious crime</t>
        </is>
      </c>
      <c r="F39" t="inlineStr">
        <is>
          <t>https://x.com/elonmusk/status/1923218250973819245</t>
        </is>
      </c>
      <c r="G39">
        <f>HYPERLINK("https://x.com/elonmusk/status/1923218250973819245","open")</f>
        <v/>
      </c>
    </row>
    <row r="40">
      <c r="A40" t="inlineStr">
        <is>
          <t>@larryvc</t>
        </is>
      </c>
      <c r="B40" t="inlineStr">
        <is>
          <t>@ryancohen</t>
        </is>
      </c>
      <c r="C40" t="inlineStr">
        <is>
          <t>2025-05-14</t>
        </is>
      </c>
      <c r="D40" s="3" t="inlineStr">
        <is>
          <t>Bitcoin post</t>
        </is>
      </c>
      <c r="E40" s="3" t="inlineStr">
        <is>
          <t>$GME</t>
        </is>
      </c>
      <c r="F40" t="inlineStr">
        <is>
          <t>https://x.com/larryvc/status/1927776107253678368</t>
        </is>
      </c>
      <c r="G40">
        <f>HYPERLINK("https://x.com/larryvc/status/1927776107253678368","open")</f>
        <v/>
      </c>
    </row>
    <row r="41">
      <c r="A41" t="inlineStr">
        <is>
          <t>@larryvc</t>
        </is>
      </c>
      <c r="B41" t="inlineStr">
        <is>
          <t>@ryancohen</t>
        </is>
      </c>
      <c r="C41" t="inlineStr">
        <is>
          <t>2025-05-14</t>
        </is>
      </c>
      <c r="D41" s="3" t="inlineStr">
        <is>
          <t>post</t>
        </is>
      </c>
      <c r="E41" s="3" t="inlineStr">
        <is>
          <t>$GME</t>
        </is>
      </c>
      <c r="F41" t="inlineStr">
        <is>
          <t>https://x.com/larryvc/status/1927685156833223007</t>
        </is>
      </c>
      <c r="G41">
        <f>HYPERLINK("https://x.com/larryvc/status/1927685156833223007","open")</f>
        <v/>
      </c>
    </row>
    <row r="42">
      <c r="A42" t="inlineStr">
        <is>
          <t>@DonaldJTrumpJr</t>
        </is>
      </c>
      <c r="B42" t="inlineStr">
        <is>
          <t>@elonmusk</t>
        </is>
      </c>
      <c r="C42" t="inlineStr">
        <is>
          <t>2025-05-01</t>
        </is>
      </c>
      <c r="D42" s="3" t="inlineStr">
        <is>
          <t>Steve Witkoff post</t>
        </is>
      </c>
      <c r="E42" s="3" t="inlineStr">
        <is>
          <t>The best!!!</t>
        </is>
      </c>
      <c r="F42" t="inlineStr">
        <is>
          <t>https://x.com/DonaldJTrumpJr/status/1918003769763352576</t>
        </is>
      </c>
      <c r="G42">
        <f>HYPERLINK("https://x.com/DonaldJTrumpJr/status/1918003769763352576","open")</f>
        <v/>
      </c>
    </row>
    <row r="43">
      <c r="A43" t="inlineStr">
        <is>
          <t>@elonmusk</t>
        </is>
      </c>
      <c r="B43" t="inlineStr">
        <is>
          <t>@DonaldJTrumpJr</t>
        </is>
      </c>
      <c r="C43" t="inlineStr">
        <is>
          <t>2025-04-30</t>
        </is>
      </c>
      <c r="D43" s="3" t="inlineStr">
        <is>
          <t>Poilievre post</t>
        </is>
      </c>
      <c r="E43" s="3" t="inlineStr">
        <is>
          <t>Wow</t>
        </is>
      </c>
      <c r="F43" t="inlineStr">
        <is>
          <t>https://x.com/elonmusk/status/1917448805894742132</t>
        </is>
      </c>
      <c r="G43">
        <f>HYPERLINK("https://x.com/elonmusk/status/1917448805894742132","open")</f>
        <v/>
      </c>
    </row>
    <row r="44">
      <c r="A44" t="inlineStr">
        <is>
          <t>@elonmusk</t>
        </is>
      </c>
      <c r="B44" t="inlineStr">
        <is>
          <t>@DonaldJTrumpJr</t>
        </is>
      </c>
      <c r="C44" t="inlineStr">
        <is>
          <t>2025-04-26</t>
        </is>
      </c>
      <c r="D44" s="3" t="inlineStr">
        <is>
          <t>Trump post</t>
        </is>
      </c>
      <c r="E44" s="3" t="inlineStr">
        <is>
          <t>True</t>
        </is>
      </c>
      <c r="F44" t="inlineStr">
        <is>
          <t>https://x.com/elonmusk/status/1916143563353575887</t>
        </is>
      </c>
      <c r="G44">
        <f>HYPERLINK("https://x.com/elonmusk/status/1916143563353575887","open")</f>
        <v/>
      </c>
    </row>
    <row r="45">
      <c r="A45" t="inlineStr">
        <is>
          <t>@elonmusk</t>
        </is>
      </c>
      <c r="B45" t="inlineStr">
        <is>
          <t>@DonaldJTrumpJr</t>
        </is>
      </c>
      <c r="C45" t="inlineStr">
        <is>
          <t>2025-04-24</t>
        </is>
      </c>
      <c r="D45" s="3" t="inlineStr">
        <is>
          <t>Zelensky post</t>
        </is>
      </c>
      <c r="E45" s="3" t="inlineStr">
        <is>
          <t>True</t>
        </is>
      </c>
      <c r="F45" t="inlineStr">
        <is>
          <t>https://x.com/elonmusk/status/1915417975072710748</t>
        </is>
      </c>
      <c r="G45">
        <f>HYPERLINK("https://x.com/elonmusk/status/1915417975072710748","open")</f>
        <v/>
      </c>
    </row>
    <row r="46">
      <c r="A46" t="inlineStr">
        <is>
          <t>@elonmusk</t>
        </is>
      </c>
      <c r="B46" t="inlineStr">
        <is>
          <t>@DonaldJTrumpJr</t>
        </is>
      </c>
      <c r="C46" t="inlineStr">
        <is>
          <t>2025-04-15</t>
        </is>
      </c>
      <c r="D46" s="3" t="inlineStr">
        <is>
          <t>peace post</t>
        </is>
      </c>
      <c r="E46" s="3" t="inlineStr">
        <is>
          <t>We are lucky to have Steve Witkoff doing this</t>
        </is>
      </c>
      <c r="F46" t="inlineStr">
        <is>
          <t>https://x.com/elonmusk/status/1912128279831871564</t>
        </is>
      </c>
      <c r="G46">
        <f>HYPERLINK("https://x.com/elonmusk/status/1912128279831871564","open")</f>
        <v/>
      </c>
    </row>
    <row r="47">
      <c r="A47" t="inlineStr">
        <is>
          <t>@elonmusk</t>
        </is>
      </c>
      <c r="B47" t="inlineStr">
        <is>
          <t>@DonaldJTrumpJr</t>
        </is>
      </c>
      <c r="C47" t="inlineStr">
        <is>
          <t>2025-04-14</t>
        </is>
      </c>
      <c r="D47" s="3" t="inlineStr">
        <is>
          <t>Witkoff post</t>
        </is>
      </c>
      <c r="E47" s="3" t="inlineStr">
        <is>
          <t>Wow</t>
        </is>
      </c>
      <c r="F47" t="inlineStr">
        <is>
          <t>https://x.com/elonmusk/status/1911772186315989367</t>
        </is>
      </c>
      <c r="G47">
        <f>HYPERLINK("https://x.com/elonmusk/status/1911772186315989367","open")</f>
        <v/>
      </c>
    </row>
    <row r="48">
      <c r="A48" t="inlineStr">
        <is>
          <t>@larryvc</t>
        </is>
      </c>
      <c r="B48" t="inlineStr">
        <is>
          <t>@ryancohen</t>
        </is>
      </c>
      <c r="C48" t="inlineStr">
        <is>
          <t>2025-04-14</t>
        </is>
      </c>
      <c r="D48" s="3" t="inlineStr">
        <is>
          <t>GameStop post</t>
        </is>
      </c>
      <c r="E48" s="3" t="inlineStr">
        <is>
          <t>I just want to acknowledge one of @gamestop’s very best customers...</t>
        </is>
      </c>
      <c r="F48" t="inlineStr">
        <is>
          <t>https://x.com/larryvc/status/1912610404364365900</t>
        </is>
      </c>
      <c r="G48">
        <f>HYPERLINK("https://x.com/larryvc/status/1912610404364365900","open")</f>
        <v/>
      </c>
    </row>
    <row r="49">
      <c r="A49" t="inlineStr">
        <is>
          <t>@elonmusk</t>
        </is>
      </c>
      <c r="B49" t="inlineStr">
        <is>
          <t>@DonaldJTrumpJr</t>
        </is>
      </c>
      <c r="C49" t="inlineStr">
        <is>
          <t>2025-04-08</t>
        </is>
      </c>
      <c r="D49" s="3" t="inlineStr">
        <is>
          <t>Epstein post</t>
        </is>
      </c>
      <c r="E49" s="3" t="inlineStr">
        <is>
          <t>Wow</t>
        </is>
      </c>
      <c r="F49" t="inlineStr">
        <is>
          <t>https://x.com/elonmusk/status/1909674621714284824</t>
        </is>
      </c>
      <c r="G49">
        <f>HYPERLINK("https://x.com/elonmusk/status/1909674621714284824","open")</f>
        <v/>
      </c>
    </row>
    <row r="50">
      <c r="A50" t="inlineStr">
        <is>
          <t>@saylor</t>
        </is>
      </c>
      <c r="B50" t="inlineStr">
        <is>
          <t>@ryancohen</t>
        </is>
      </c>
      <c r="C50" t="inlineStr">
        <is>
          <t>2025-04-03</t>
        </is>
      </c>
      <c r="D50" s="3" t="inlineStr">
        <is>
          <t>Bitcoin sale post</t>
        </is>
      </c>
      <c r="E50" s="3" t="inlineStr">
        <is>
          <t>Bitcoin is on sale, Ryan.</t>
        </is>
      </c>
      <c r="F50" t="inlineStr">
        <is>
          <t>https://x.com/saylor/status/1907910614959509773</t>
        </is>
      </c>
      <c r="G50">
        <f>HYPERLINK("https://x.com/saylor/status/1907910614959509773","open")</f>
        <v/>
      </c>
    </row>
    <row r="51">
      <c r="A51" t="inlineStr">
        <is>
          <t>@saylor</t>
        </is>
      </c>
      <c r="B51" t="inlineStr">
        <is>
          <t>@ryancohen</t>
        </is>
      </c>
      <c r="C51" t="inlineStr">
        <is>
          <t>2025-03-25</t>
        </is>
      </c>
      <c r="D51" s="3" t="inlineStr">
        <is>
          <t>GameStop Bitcoin announcement</t>
        </is>
      </c>
      <c r="E51" s="3" t="inlineStr">
        <is>
          <t>A step in the right direction.</t>
        </is>
      </c>
      <c r="F51" t="inlineStr">
        <is>
          <t>https://x.com/saylor/status/1904659019681145214</t>
        </is>
      </c>
      <c r="G51">
        <f>HYPERLINK("https://x.com/saylor/status/1904659019681145214","open")</f>
        <v/>
      </c>
    </row>
    <row r="52">
      <c r="A52" t="inlineStr">
        <is>
          <t>@saylor</t>
        </is>
      </c>
      <c r="B52" t="inlineStr">
        <is>
          <t>@ryancohen</t>
        </is>
      </c>
      <c r="C52" t="inlineStr">
        <is>
          <t>2025-03-25</t>
        </is>
      </c>
      <c r="D52" s="3" t="inlineStr">
        <is>
          <t>Bitcoin post</t>
        </is>
      </c>
      <c r="E52" s="3" t="inlineStr">
        <is>
          <t>Welcome to Team Bitcoin, @RyanCohen. $GME 🚀</t>
        </is>
      </c>
      <c r="F52" t="inlineStr">
        <is>
          <t>https://x.com/saylor/status/1904656304200962239</t>
        </is>
      </c>
      <c r="G52">
        <f>HYPERLINK("https://x.com/saylor/status/1904656304200962239","open")</f>
        <v/>
      </c>
    </row>
    <row r="53">
      <c r="A53" t="inlineStr">
        <is>
          <t>@EricTrump</t>
        </is>
      </c>
      <c r="B53" t="inlineStr">
        <is>
          <t>@elonmusk</t>
        </is>
      </c>
      <c r="C53" t="inlineStr">
        <is>
          <t>2025-03-19</t>
        </is>
      </c>
      <c r="D53" s="3" t="inlineStr">
        <is>
          <t>rescue post</t>
        </is>
      </c>
      <c r="E53" s="3" t="inlineStr">
        <is>
          <t>Thank you @elonmusk on behalf of all Americans. You are truly a national treasure.</t>
        </is>
      </c>
      <c r="F53" t="inlineStr">
        <is>
          <t>https://x.com/EricTrump/status/1902149405915922492</t>
        </is>
      </c>
      <c r="G53">
        <f>HYPERLINK("https://x.com/EricTrump/status/1902149405915922492","open")</f>
        <v/>
      </c>
    </row>
    <row r="54">
      <c r="A54" t="inlineStr">
        <is>
          <t>@saylor</t>
        </is>
      </c>
      <c r="B54" t="inlineStr">
        <is>
          <t>@EricTrump</t>
        </is>
      </c>
      <c r="C54" t="inlineStr">
        <is>
          <t>2025-03-03</t>
        </is>
      </c>
      <c r="D54" s="3" t="inlineStr">
        <is>
          <t>post</t>
        </is>
      </c>
      <c r="E54" s="3" t="inlineStr">
        <is>
          <t>HODL</t>
        </is>
      </c>
      <c r="F54" t="inlineStr">
        <is>
          <t>https://x.com/saylor/status/1896561335389090139</t>
        </is>
      </c>
      <c r="G54">
        <f>HYPERLINK("https://x.com/saylor/status/1896561335389090139","open")</f>
        <v/>
      </c>
    </row>
    <row r="55">
      <c r="A55" t="inlineStr">
        <is>
          <t>@saylor</t>
        </is>
      </c>
      <c r="B55" t="inlineStr">
        <is>
          <t>@EricTrump</t>
        </is>
      </c>
      <c r="C55" t="inlineStr">
        <is>
          <t>2025-03-03</t>
        </is>
      </c>
      <c r="D55" s="3" t="inlineStr">
        <is>
          <t>post</t>
        </is>
      </c>
      <c r="E55" s="3" t="inlineStr">
        <is>
          <t>Bitcoin never sleeps.</t>
        </is>
      </c>
      <c r="F55" t="inlineStr">
        <is>
          <t>https://x.com/saylor/status/1896411358499107178</t>
        </is>
      </c>
      <c r="G55">
        <f>HYPERLINK("https://x.com/saylor/status/1896411358499107178","open")</f>
        <v/>
      </c>
    </row>
    <row r="56">
      <c r="A56" t="inlineStr">
        <is>
          <t>@saylor</t>
        </is>
      </c>
      <c r="B56" t="inlineStr">
        <is>
          <t>@EricTrump</t>
        </is>
      </c>
      <c r="C56" t="inlineStr">
        <is>
          <t>2025-03-02</t>
        </is>
      </c>
      <c r="D56" s="3" t="inlineStr">
        <is>
          <t>post</t>
        </is>
      </c>
      <c r="E56" s="3" t="inlineStr">
        <is>
          <t>I also love Bitcoin.</t>
        </is>
      </c>
      <c r="F56" t="inlineStr">
        <is>
          <t>https://x.com/saylor/status/1896246197998006730</t>
        </is>
      </c>
      <c r="G56">
        <f>HYPERLINK("https://x.com/saylor/status/1896246197998006730","open")</f>
        <v/>
      </c>
    </row>
    <row r="57">
      <c r="A57" t="inlineStr">
        <is>
          <t>@saylor</t>
        </is>
      </c>
      <c r="B57" t="inlineStr">
        <is>
          <t>@EricTrump</t>
        </is>
      </c>
      <c r="C57" t="inlineStr">
        <is>
          <t>2025-02-25</t>
        </is>
      </c>
      <c r="D57" s="3" t="inlineStr">
        <is>
          <t>post</t>
        </is>
      </c>
      <c r="E57" s="3" t="inlineStr">
        <is>
          <t>Volatility is a gift to the faithful.</t>
        </is>
      </c>
      <c r="F57" t="inlineStr">
        <is>
          <t>https://x.com/saylor/status/1894373799845372364</t>
        </is>
      </c>
      <c r="G57">
        <f>HYPERLINK("https://x.com/saylor/status/1894373799845372364","open")</f>
        <v/>
      </c>
    </row>
    <row r="58">
      <c r="A58" t="inlineStr">
        <is>
          <t>@EricTrump</t>
        </is>
      </c>
      <c r="B58" t="inlineStr">
        <is>
          <t>@saylor</t>
        </is>
      </c>
      <c r="C58" t="inlineStr">
        <is>
          <t>2025-02-07</t>
        </is>
      </c>
      <c r="D58" s="3" t="inlineStr">
        <is>
          <t>post</t>
        </is>
      </c>
      <c r="E58" s="3" t="inlineStr">
        <is>
          <t>Best cause in the world! @StJude @saylor</t>
        </is>
      </c>
      <c r="F58" t="inlineStr">
        <is>
          <t>https://x.com/EricTrump/status/1887938698316333291</t>
        </is>
      </c>
      <c r="G58">
        <f>HYPERLINK("https://x.com/EricTrump/status/1887938698316333291","open")</f>
        <v/>
      </c>
    </row>
    <row r="59">
      <c r="A59" t="inlineStr">
        <is>
          <t>@saylor</t>
        </is>
      </c>
      <c r="B59" t="inlineStr">
        <is>
          <t>@EricTrump</t>
        </is>
      </c>
      <c r="C59" t="inlineStr">
        <is>
          <t>2025-02-07</t>
        </is>
      </c>
      <c r="D59" s="3" t="inlineStr">
        <is>
          <t>Trump post</t>
        </is>
      </c>
      <c r="E59" s="3" t="inlineStr">
        <is>
          <t>Congratulations @LaraLeaTrump &amp; @EricTrump on hosting an elegant benefit for @StJude last night.</t>
        </is>
      </c>
      <c r="F59" t="inlineStr">
        <is>
          <t>https://x.com/saylor/status/1887938698316333291</t>
        </is>
      </c>
      <c r="G59">
        <f>HYPERLINK("https://x.com/saylor/status/1887938698316333291","open")</f>
        <v/>
      </c>
    </row>
    <row r="60">
      <c r="A60" t="inlineStr">
        <is>
          <t>@saylor</t>
        </is>
      </c>
      <c r="B60" t="inlineStr">
        <is>
          <t>@LaraLeaTrump</t>
        </is>
      </c>
      <c r="C60" t="inlineStr">
        <is>
          <t>2025-02-07</t>
        </is>
      </c>
      <c r="D60" s="3" t="inlineStr">
        <is>
          <t>post</t>
        </is>
      </c>
      <c r="E60" s="3" t="inlineStr">
        <is>
          <t>Congratulations @LaraLeaTrump &amp; @EricTrump on hosting an elegant benefit for @StJude last night.</t>
        </is>
      </c>
      <c r="F60" t="inlineStr">
        <is>
          <t>https://x.com/saylor/status/1887930241890287948</t>
        </is>
      </c>
      <c r="G60">
        <f>HYPERLINK("https://x.com/saylor/status/1887930241890287948","open")</f>
        <v/>
      </c>
    </row>
    <row r="61">
      <c r="A61" t="inlineStr">
        <is>
          <t>@saylor</t>
        </is>
      </c>
      <c r="B61" t="inlineStr">
        <is>
          <t>@EricTrump</t>
        </is>
      </c>
      <c r="C61" t="inlineStr">
        <is>
          <t>2025-02-06</t>
        </is>
      </c>
      <c r="D61" s="3" t="inlineStr">
        <is>
          <t>post</t>
        </is>
      </c>
      <c r="E61" s="3" t="inlineStr">
        <is>
          <t>No ₿etter Time 🚀</t>
        </is>
      </c>
      <c r="F61" t="inlineStr">
        <is>
          <t>https://x.com/saylor/status/1887328651860988384</t>
        </is>
      </c>
      <c r="G61">
        <f>HYPERLINK("https://x.com/saylor/status/1887328651860988384","open")</f>
        <v/>
      </c>
    </row>
    <row r="62">
      <c r="A62" t="inlineStr">
        <is>
          <t>@saylor</t>
        </is>
      </c>
      <c r="B62" t="inlineStr">
        <is>
          <t>@EricTrump</t>
        </is>
      </c>
      <c r="C62" t="inlineStr">
        <is>
          <t>2025-01-03</t>
        </is>
      </c>
      <c r="D62" s="3" t="inlineStr">
        <is>
          <t>post</t>
        </is>
      </c>
      <c r="E62" s="3" t="inlineStr">
        <is>
          <t>🚀</t>
        </is>
      </c>
      <c r="F62" t="inlineStr">
        <is>
          <t>https://x.com/saylor/status/1875037829757276193</t>
        </is>
      </c>
      <c r="G62">
        <f>HYPERLINK("https://x.com/saylor/status/1875037829757276193","open")</f>
        <v/>
      </c>
    </row>
    <row r="63">
      <c r="A63" t="inlineStr">
        <is>
          <t>@saylor</t>
        </is>
      </c>
      <c r="B63" t="inlineStr">
        <is>
          <t>@EricTrump</t>
        </is>
      </c>
      <c r="C63" t="inlineStr">
        <is>
          <t>2024-12-10</t>
        </is>
      </c>
      <c r="D63" s="3" t="inlineStr">
        <is>
          <t>post</t>
        </is>
      </c>
      <c r="E63" s="3" t="inlineStr">
        <is>
          <t>Today, @EricTrump shared his views on the significance of #Bitcoin and the role that he and @realDonaldTrump expect it to play in the future. The speech is extraordinary and I highly recommend watching it in full.</t>
        </is>
      </c>
      <c r="F63" t="inlineStr">
        <is>
          <t>https://x.com/saylor/status/1866539391184711873</t>
        </is>
      </c>
      <c r="G63">
        <f>HYPERLINK("https://x.com/saylor/status/1866539391184711873","open")</f>
        <v/>
      </c>
    </row>
    <row r="64">
      <c r="A64" t="inlineStr">
        <is>
          <t>@saylor</t>
        </is>
      </c>
      <c r="B64" t="inlineStr">
        <is>
          <t>@EricTrump</t>
        </is>
      </c>
      <c r="C64" t="inlineStr">
        <is>
          <t>2024-12-10</t>
        </is>
      </c>
      <c r="D64" s="3" t="inlineStr">
        <is>
          <t>post</t>
        </is>
      </c>
      <c r="E64" s="3" t="inlineStr">
        <is>
          <t>I am confident that it is going to hit $1 million.” - @EricTrump on #Bitcoin</t>
        </is>
      </c>
      <c r="F64" t="inlineStr">
        <is>
          <t>https://x.com/saylor/status/1866455426818093241</t>
        </is>
      </c>
      <c r="G64">
        <f>HYPERLINK("https://x.com/saylor/status/1866455426818093241","open")</f>
        <v/>
      </c>
    </row>
    <row r="65">
      <c r="A65" t="inlineStr">
        <is>
          <t>@saylor</t>
        </is>
      </c>
      <c r="B65" t="inlineStr">
        <is>
          <t>@EricTrump</t>
        </is>
      </c>
      <c r="C65" t="inlineStr">
        <is>
          <t>2024-12-05</t>
        </is>
      </c>
      <c r="D65" s="3" t="inlineStr">
        <is>
          <t>post</t>
        </is>
      </c>
      <c r="E65" s="3" t="inlineStr">
        <is>
          <t>🚀</t>
        </is>
      </c>
      <c r="F65" t="inlineStr">
        <is>
          <t>https://x.com/saylor/status/1864666516483920369</t>
        </is>
      </c>
      <c r="G65">
        <f>HYPERLINK("https://x.com/saylor/status/1864666516483920369","open")</f>
        <v/>
      </c>
    </row>
    <row r="66">
      <c r="A66" t="inlineStr">
        <is>
          <t>@DonaldJTrumpJr</t>
        </is>
      </c>
      <c r="B66" t="inlineStr">
        <is>
          <t>@elonmusk</t>
        </is>
      </c>
      <c r="C66" t="inlineStr">
        <is>
          <t>2024-11-27</t>
        </is>
      </c>
      <c r="D66" s="3" t="inlineStr">
        <is>
          <t>Daylight savings time post</t>
        </is>
      </c>
      <c r="E66" s="3" t="inlineStr">
        <is>
          <t>💯💯💯 leave it daylight savings time always.</t>
        </is>
      </c>
      <c r="F66" t="inlineStr">
        <is>
          <t>https://x.com/DonaldJTrumpJr/status/1861880248234828280</t>
        </is>
      </c>
      <c r="G66">
        <f>HYPERLINK("https://x.com/DonaldJTrumpJr/status/1861880248234828280","open")</f>
        <v/>
      </c>
    </row>
    <row r="67">
      <c r="A67" t="inlineStr">
        <is>
          <t>@DonaldJTrumpJr</t>
        </is>
      </c>
      <c r="B67" t="inlineStr">
        <is>
          <t>@elonmusk</t>
        </is>
      </c>
      <c r="C67" t="inlineStr">
        <is>
          <t>2024-09-05</t>
        </is>
      </c>
      <c r="D67" s="3" t="inlineStr">
        <is>
          <t>Post-Election Landscape post</t>
        </is>
      </c>
      <c r="E67" s="3" t="inlineStr">
        <is>
          <t>It’s crazy that we are at this point but here we are. He’s 100%</t>
        </is>
      </c>
      <c r="F67" t="inlineStr">
        <is>
          <t>https://x.com/DonaldJTrumpJr/status/1831679742405194057</t>
        </is>
      </c>
      <c r="G67">
        <f>HYPERLINK("https://x.com/DonaldJTrumpJr/status/1831679742405194057","open")</f>
        <v/>
      </c>
    </row>
    <row r="68">
      <c r="A68" t="inlineStr">
        <is>
          <t>@DonaldJTrumpJr</t>
        </is>
      </c>
      <c r="B68" t="inlineStr">
        <is>
          <t>@elonmusk</t>
        </is>
      </c>
      <c r="C68" t="inlineStr">
        <is>
          <t>2024-08-20</t>
        </is>
      </c>
      <c r="D68" s="3" t="inlineStr">
        <is>
          <t>Defiant post</t>
        </is>
      </c>
      <c r="E68" s="3" t="inlineStr">
        <is>
          <t>#BeDefiant</t>
        </is>
      </c>
      <c r="F68" t="inlineStr">
        <is>
          <t>https://x.com/DonaldJTrumpJr/status/1825863317463687369</t>
        </is>
      </c>
      <c r="G68">
        <f>HYPERLINK("https://x.com/DonaldJTrumpJr/status/1825863317463687369","open")</f>
        <v/>
      </c>
    </row>
    <row r="69">
      <c r="A69" t="inlineStr">
        <is>
          <t>@ryancohen</t>
        </is>
      </c>
      <c r="B69" t="inlineStr">
        <is>
          <t>@itswooch</t>
        </is>
      </c>
      <c r="C69" t="inlineStr">
        <is>
          <t>2023-06-18</t>
        </is>
      </c>
      <c r="D69" s="3" t="inlineStr">
        <is>
          <t>shadowban list including Cohen</t>
        </is>
      </c>
      <c r="E69" s="3" t="inlineStr">
        <is>
          <t>I believe so</t>
        </is>
      </c>
      <c r="F69" t="inlineStr">
        <is>
          <t>https://x.com/ryancohen/status/1670565004909871105</t>
        </is>
      </c>
      <c r="G69">
        <f>HYPERLINK("https://x.com/ryancohen/status/1670565004909871105","open")</f>
        <v/>
      </c>
    </row>
    <row r="70">
      <c r="A70" t="inlineStr">
        <is>
          <t>@DonaldJTrumpJr</t>
        </is>
      </c>
      <c r="B70" t="inlineStr">
        <is>
          <t>@elonmusk</t>
        </is>
      </c>
      <c r="C70" t="inlineStr">
        <is>
          <t>2023-05-30</t>
        </is>
      </c>
      <c r="D70" s="3" t="inlineStr">
        <is>
          <t>AI post</t>
        </is>
      </c>
      <c r="E70" s="3" t="inlineStr">
        <is>
          <t>The Terminator</t>
        </is>
      </c>
      <c r="F70" t="inlineStr">
        <is>
          <t>https://x.com/DonaldJTrumpJr/status/1663325665620541441</t>
        </is>
      </c>
      <c r="G70">
        <f>HYPERLINK("https://x.com/DonaldJTrumpJr/status/1663325665620541441","open")</f>
        <v/>
      </c>
    </row>
    <row r="71">
      <c r="A71" t="inlineStr">
        <is>
          <t>@ryancohen</t>
        </is>
      </c>
      <c r="B71" t="inlineStr">
        <is>
          <t>@lawsondt</t>
        </is>
      </c>
      <c r="C71" t="inlineStr">
        <is>
          <t>2022-11-24</t>
        </is>
      </c>
      <c r="D71" s="3" t="inlineStr">
        <is>
          <t>tweet suppression</t>
        </is>
      </c>
      <c r="E71" s="3" t="inlineStr">
        <is>
          <t>My tweets seem to be suppressed.</t>
        </is>
      </c>
      <c r="F71" t="inlineStr">
        <is>
          <t>https://x.com/ryancohen/status/1595615782117208069</t>
        </is>
      </c>
      <c r="G71">
        <f>HYPERLINK("https://x.com/ryancohen/status/1595615782117208069","open")</f>
        <v/>
      </c>
    </row>
    <row r="72">
      <c r="A72" t="inlineStr">
        <is>
          <t>@ryancohen</t>
        </is>
      </c>
      <c r="B72" t="inlineStr">
        <is>
          <t>@elonmusk</t>
        </is>
      </c>
      <c r="C72" t="inlineStr">
        <is>
          <t>2022-04-17</t>
        </is>
      </c>
      <c r="D72" s="3" t="inlineStr">
        <is>
          <t>Twitter board share ownership</t>
        </is>
      </c>
      <c r="E72" s="3" t="inlineStr">
        <is>
          <t>Unfortunately, like the vast majority of public companies. Welcome to the world of activism. Power to the players. 🏴‍☠️</t>
        </is>
      </c>
      <c r="F72" t="inlineStr">
        <is>
          <t>https://x.com/ryancohen/status/1515770539305943041</t>
        </is>
      </c>
      <c r="G72">
        <f>HYPERLINK("https://x.com/ryancohen/status/1515770539305943041","open")</f>
        <v/>
      </c>
    </row>
    <row r="73">
      <c r="A73" t="inlineStr">
        <is>
          <t>@collectors</t>
        </is>
      </c>
      <c r="B73" t="inlineStr">
        <is>
          <t>@DanSilvershein</t>
        </is>
      </c>
      <c r="C73" t="inlineStr">
        <is>
          <t>2022-04-15</t>
        </is>
      </c>
      <c r="D73" s="3" t="inlineStr">
        <is>
          <t>joining announcement</t>
        </is>
      </c>
      <c r="E73" s="3" t="inlineStr">
        <is>
          <t>Welcome aboard!! 🤝</t>
        </is>
      </c>
      <c r="F73" t="inlineStr">
        <is>
          <t>https://x.com/collectors/status/1515089817893187587</t>
        </is>
      </c>
      <c r="G73">
        <f>HYPERLINK("https://x.com/collectors/status/1515089817893187587","open")</f>
        <v/>
      </c>
    </row>
    <row r="74">
      <c r="A74" t="inlineStr">
        <is>
          <t>@collectors</t>
        </is>
      </c>
      <c r="B74" t="inlineStr">
        <is>
          <t>@PSAcard</t>
        </is>
      </c>
      <c r="C74" t="inlineStr">
        <is>
          <t>2022-03-31</t>
        </is>
      </c>
      <c r="D74" s="3" t="inlineStr">
        <is>
          <t>The PSA Pod episode</t>
        </is>
      </c>
      <c r="E74" s="3" t="inlineStr">
        <is>
          <t>Collectors CPO Ryan Hoge joined @PSAcard's 'The PSA Pod'...</t>
        </is>
      </c>
      <c r="F74" t="inlineStr">
        <is>
          <t>https://x.com/collectors/status/1509635237210308636</t>
        </is>
      </c>
      <c r="G74">
        <f>HYPERLINK("https://x.com/collectors/status/1509635237210308636","open")</f>
        <v/>
      </c>
    </row>
    <row r="75">
      <c r="A75" t="inlineStr">
        <is>
          <t>@collectors</t>
        </is>
      </c>
      <c r="B75" t="inlineStr">
        <is>
          <t>@PSAcard</t>
        </is>
      </c>
      <c r="C75" t="inlineStr">
        <is>
          <t>2022-03-30</t>
        </is>
      </c>
      <c r="D75" s="3" t="inlineStr">
        <is>
          <t>rebrand post</t>
        </is>
      </c>
      <c r="E75" s="3" t="inlineStr">
        <is>
          <t>🤝</t>
        </is>
      </c>
      <c r="F75" t="inlineStr">
        <is>
          <t>https://x.com/collectors/status/1509214258218749953</t>
        </is>
      </c>
      <c r="G75">
        <f>HYPERLINK("https://x.com/collectors/status/1509214258218749953","open")</f>
        <v/>
      </c>
    </row>
  </sheetData>
  <autoFilter ref="A1:G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22" customWidth="1" min="4" max="4"/>
    <col width="60" customWidth="1" min="5" max="5"/>
    <col width="58" customWidth="1" min="6" max="6"/>
    <col width="60" customWidth="1" min="7" max="7"/>
  </cols>
  <sheetData>
    <row r="1">
      <c r="A1" s="1" t="inlineStr">
        <is>
          <t>from_handle</t>
        </is>
      </c>
      <c r="B1" s="1" t="inlineStr">
        <is>
          <t>to_handle</t>
        </is>
      </c>
      <c r="C1" s="1" t="inlineStr">
        <is>
          <t>date</t>
        </is>
      </c>
      <c r="D1" s="2" t="inlineStr">
        <is>
          <t>subject</t>
        </is>
      </c>
      <c r="E1" s="2" t="inlineStr">
        <is>
          <t>tweet_text</t>
        </is>
      </c>
      <c r="F1" s="1" t="inlineStr">
        <is>
          <t>url</t>
        </is>
      </c>
      <c r="G1" s="1" t="inlineStr">
        <is>
          <t>link</t>
        </is>
      </c>
    </row>
    <row r="2">
      <c r="A2" t="inlineStr">
        <is>
          <t>@greg16676935420</t>
        </is>
      </c>
      <c r="B2" t="inlineStr">
        <is>
          <t>@elonmusk</t>
        </is>
      </c>
      <c r="C2" t="inlineStr">
        <is>
          <t>2025-11-02</t>
        </is>
      </c>
      <c r="D2" s="3" t="inlineStr">
        <is>
          <t>AI post</t>
        </is>
      </c>
      <c r="E2" s="3" t="inlineStr">
        <is>
          <t>I’ve been saying this for years</t>
        </is>
      </c>
      <c r="F2" t="inlineStr">
        <is>
          <t>https://x.com/greg16676935420/status/1985049943036616879</t>
        </is>
      </c>
      <c r="G2">
        <f>HYPERLINK("https://x.com/greg16676935420/status/1985049943036616879","open")</f>
        <v/>
      </c>
    </row>
    <row r="3">
      <c r="A3" t="inlineStr">
        <is>
          <t>@greg16676935420</t>
        </is>
      </c>
      <c r="B3" t="inlineStr">
        <is>
          <t>@elonmusk</t>
        </is>
      </c>
      <c r="C3" t="inlineStr">
        <is>
          <t>2025-10-31</t>
        </is>
      </c>
      <c r="D3" s="3" t="inlineStr">
        <is>
          <t>bot post</t>
        </is>
      </c>
      <c r="E3" s="3" t="inlineStr">
        <is>
          <t>Bro I’m about to go trick or treating why'd you have to drop this right now</t>
        </is>
      </c>
      <c r="F3" t="inlineStr">
        <is>
          <t>https://x.com/greg16676935420/status/1984280108312727868</t>
        </is>
      </c>
      <c r="G3">
        <f>HYPERLINK("https://x.com/greg16676935420/status/1984280108312727868","open")</f>
        <v/>
      </c>
    </row>
    <row r="4">
      <c r="A4" t="inlineStr">
        <is>
          <t>@greg16676935420</t>
        </is>
      </c>
      <c r="B4" t="inlineStr">
        <is>
          <t>@elonmusk</t>
        </is>
      </c>
      <c r="C4" t="inlineStr">
        <is>
          <t>2025-10-31</t>
        </is>
      </c>
      <c r="D4" s="3" t="inlineStr">
        <is>
          <t>vote post</t>
        </is>
      </c>
      <c r="E4" s="3" t="inlineStr">
        <is>
          <t>It seems like everyone is in favor of your big package Elon</t>
        </is>
      </c>
      <c r="F4" t="inlineStr">
        <is>
          <t>https://x.com/greg16676935420/status/1983638696206483907</t>
        </is>
      </c>
      <c r="G4">
        <f>HYPERLINK("https://x.com/greg16676935420/status/1983638696206483907","open")</f>
        <v/>
      </c>
    </row>
    <row r="5">
      <c r="A5" t="inlineStr">
        <is>
          <t>@greg16676935420</t>
        </is>
      </c>
      <c r="B5" t="inlineStr">
        <is>
          <t>@elonmusk</t>
        </is>
      </c>
      <c r="C5" t="inlineStr">
        <is>
          <t>2025-10-24</t>
        </is>
      </c>
      <c r="D5" s="3" t="inlineStr">
        <is>
          <t>algorithm post</t>
        </is>
      </c>
      <c r="E5" s="3" t="inlineStr">
        <is>
          <t>That explains why I’m not getting 1.2 million views on every post. Thanks Elon!</t>
        </is>
      </c>
      <c r="F5" t="inlineStr">
        <is>
          <t>https://x.com/greg16676935420/status/1982837368345538628</t>
        </is>
      </c>
      <c r="G5">
        <f>HYPERLINK("https://x.com/greg16676935420/status/1982837368345538628","open")</f>
        <v/>
      </c>
    </row>
    <row r="6">
      <c r="A6" t="inlineStr">
        <is>
          <t>@greg16676935420</t>
        </is>
      </c>
      <c r="B6" t="inlineStr">
        <is>
          <t>@ryancohen</t>
        </is>
      </c>
      <c r="C6" t="inlineStr">
        <is>
          <t>2025-10-23</t>
        </is>
      </c>
      <c r="D6" s="3" t="inlineStr">
        <is>
          <t>Mario Kart challenge</t>
        </is>
      </c>
      <c r="E6" s="3" t="inlineStr">
        <is>
          <t>Just turned on my N64 come on over</t>
        </is>
      </c>
      <c r="F6" t="inlineStr">
        <is>
          <t>https://x.com/greg16676935420/status/1981169595492028503</t>
        </is>
      </c>
      <c r="G6">
        <f>HYPERLINK("https://x.com/greg16676935420/status/1981169595492028503","open")</f>
        <v/>
      </c>
    </row>
    <row r="7">
      <c r="A7" t="inlineStr">
        <is>
          <t>@greg16676935420</t>
        </is>
      </c>
      <c r="B7" t="inlineStr">
        <is>
          <t>@elonmusk</t>
        </is>
      </c>
      <c r="C7" t="inlineStr">
        <is>
          <t>2025-10-22</t>
        </is>
      </c>
      <c r="D7" s="3" t="inlineStr">
        <is>
          <t>NASA post</t>
        </is>
      </c>
      <c r="E7" s="3" t="inlineStr">
        <is>
          <t>Hey @grok what do you think my IQ is?</t>
        </is>
      </c>
      <c r="F7" t="inlineStr">
        <is>
          <t>https://x.com/greg16676935420/status/1981053674043691345</t>
        </is>
      </c>
      <c r="G7">
        <f>HYPERLINK("https://x.com/greg16676935420/status/1981053674043691345","open")</f>
        <v/>
      </c>
    </row>
    <row r="8">
      <c r="A8" t="inlineStr">
        <is>
          <t>@greg16676935420</t>
        </is>
      </c>
      <c r="B8" t="inlineStr">
        <is>
          <t>@elonmusk</t>
        </is>
      </c>
      <c r="C8" t="inlineStr">
        <is>
          <t>2025-10-20</t>
        </is>
      </c>
      <c r="D8" s="3" t="inlineStr">
        <is>
          <t>X chat post</t>
        </is>
      </c>
      <c r="E8" s="3" t="inlineStr">
        <is>
          <t>Elon can you message me in 𝕏 chat I want to test something quick</t>
        </is>
      </c>
      <c r="F8" t="inlineStr">
        <is>
          <t>https://x.com/greg16676935420/status/1980349369741373451</t>
        </is>
      </c>
      <c r="G8">
        <f>HYPERLINK("https://x.com/greg16676935420/status/1980349369741373451","open")</f>
        <v/>
      </c>
    </row>
    <row r="9">
      <c r="A9" t="inlineStr">
        <is>
          <t>@greg16676935420</t>
        </is>
      </c>
      <c r="B9" t="inlineStr">
        <is>
          <t>@elonmusk</t>
        </is>
      </c>
      <c r="C9" t="inlineStr">
        <is>
          <t>2025-10-20</t>
        </is>
      </c>
      <c r="D9" s="3" t="inlineStr">
        <is>
          <t>Imagine post</t>
        </is>
      </c>
      <c r="E9" s="3" t="inlineStr">
        <is>
          <t>Would</t>
        </is>
      </c>
      <c r="F9" t="inlineStr">
        <is>
          <t>https://x.com/greg16676935420/status/1980338825718317510</t>
        </is>
      </c>
      <c r="G9">
        <f>HYPERLINK("https://x.com/greg16676935420/status/1980338825718317510","open")</f>
        <v/>
      </c>
    </row>
    <row r="10">
      <c r="A10" t="inlineStr">
        <is>
          <t>@greg16676935420</t>
        </is>
      </c>
      <c r="B10" t="inlineStr">
        <is>
          <t>@elonmusk</t>
        </is>
      </c>
      <c r="C10" t="inlineStr">
        <is>
          <t>2025-10-17</t>
        </is>
      </c>
      <c r="D10" s="3" t="inlineStr">
        <is>
          <t>Premium post</t>
        </is>
      </c>
      <c r="E10" s="3" t="inlineStr">
        <is>
          <t>Is this still happening @elonmusk?</t>
        </is>
      </c>
      <c r="F10" t="inlineStr">
        <is>
          <t>https://x.com/greg16676935420/status/1979236881192882270</t>
        </is>
      </c>
      <c r="G10">
        <f>HYPERLINK("https://x.com/greg16676935420/status/1979236881192882270","open")</f>
        <v/>
      </c>
    </row>
    <row r="11">
      <c r="A11" t="inlineStr">
        <is>
          <t>@greg16676935420</t>
        </is>
      </c>
      <c r="B11" t="inlineStr">
        <is>
          <t>@elonmusk</t>
        </is>
      </c>
      <c r="C11" t="inlineStr">
        <is>
          <t>2025-10-01</t>
        </is>
      </c>
      <c r="D11" s="3" t="inlineStr">
        <is>
          <t>notification test</t>
        </is>
      </c>
      <c r="E11" s="3" t="inlineStr">
        <is>
          <t>I got the notification 3 minutes after you posted</t>
        </is>
      </c>
      <c r="F11" t="inlineStr">
        <is>
          <t>https://x.com/greg16676935420/status/1973518184750915604</t>
        </is>
      </c>
      <c r="G11">
        <f>HYPERLINK("https://x.com/greg16676935420/status/1973518184750915604","open")</f>
        <v/>
      </c>
    </row>
    <row r="12">
      <c r="A12" t="inlineStr">
        <is>
          <t>@greg16676935420</t>
        </is>
      </c>
      <c r="B12" t="inlineStr">
        <is>
          <t>@elonmusk</t>
        </is>
      </c>
      <c r="C12" t="inlineStr">
        <is>
          <t>2025-10-01</t>
        </is>
      </c>
      <c r="D12" s="3" t="inlineStr">
        <is>
          <t>bot post</t>
        </is>
      </c>
      <c r="E12" s="3" t="inlineStr">
        <is>
          <t>I thought only girls do that</t>
        </is>
      </c>
      <c r="F12" t="inlineStr">
        <is>
          <t>https://x.com/greg16676935420/status/1973512006729892316</t>
        </is>
      </c>
      <c r="G12">
        <f>HYPERLINK("https://x.com/greg16676935420/status/1973512006729892316","open")</f>
        <v/>
      </c>
    </row>
    <row r="13">
      <c r="A13" t="inlineStr">
        <is>
          <t>@greg16676935420</t>
        </is>
      </c>
      <c r="B13" t="inlineStr">
        <is>
          <t>@elonmusk</t>
        </is>
      </c>
      <c r="C13" t="inlineStr">
        <is>
          <t>2025-08-28</t>
        </is>
      </c>
      <c r="D13" s="3" t="inlineStr">
        <is>
          <t>showerhead post</t>
        </is>
      </c>
      <c r="E13" s="3" t="inlineStr">
        <is>
          <t>Did you watch the baseball game Elon?</t>
        </is>
      </c>
      <c r="F13" t="inlineStr">
        <is>
          <t>https://x.com/greg16676935420/status/1984851429975343603</t>
        </is>
      </c>
      <c r="G13">
        <f>HYPERLINK("https://x.com/greg16676935420/status/1984851429975343603","open")</f>
        <v/>
      </c>
    </row>
    <row r="14">
      <c r="A14" t="inlineStr">
        <is>
          <t>@elonmusk</t>
        </is>
      </c>
      <c r="B14" t="inlineStr">
        <is>
          <t>@greg16676935420</t>
        </is>
      </c>
      <c r="C14" t="inlineStr">
        <is>
          <t>2025-08-15</t>
        </is>
      </c>
      <c r="D14" s="3" t="inlineStr">
        <is>
          <t>timeline post</t>
        </is>
      </c>
      <c r="E14" s="3" t="inlineStr">
        <is>
          <t>(video response)</t>
        </is>
      </c>
      <c r="F14" t="inlineStr">
        <is>
          <t>https://x.com/elonmusk/status/1956216649696338190</t>
        </is>
      </c>
      <c r="G14">
        <f>HYPERLINK("https://x.com/elonmusk/status/1956216649696338190","open")</f>
        <v/>
      </c>
    </row>
    <row r="15">
      <c r="A15" t="inlineStr">
        <is>
          <t>@elonmusk</t>
        </is>
      </c>
      <c r="B15" t="inlineStr">
        <is>
          <t>@greg16676935420</t>
        </is>
      </c>
      <c r="C15" t="inlineStr">
        <is>
          <t>2025-07-28</t>
        </is>
      </c>
      <c r="D15" s="3" t="inlineStr">
        <is>
          <t>bot challenge</t>
        </is>
      </c>
      <c r="E15" s="3" t="inlineStr">
        <is>
          <t>🎯😂</t>
        </is>
      </c>
      <c r="F15" t="inlineStr">
        <is>
          <t>https://x.com/elonmusk/status/1949937098322233583</t>
        </is>
      </c>
      <c r="G15">
        <f>HYPERLINK("https://x.com/elonmusk/status/1949937098322233583","open")</f>
        <v/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2" customWidth="1" min="4" max="4"/>
    <col width="60" customWidth="1" min="5" max="5"/>
    <col width="58" customWidth="1" min="6" max="6"/>
    <col width="60" customWidth="1" min="7" max="7"/>
  </cols>
  <sheetData>
    <row r="1">
      <c r="A1" s="1" t="inlineStr">
        <is>
          <t>from_handle</t>
        </is>
      </c>
      <c r="B1" s="1" t="inlineStr">
        <is>
          <t>to_handle</t>
        </is>
      </c>
      <c r="C1" s="1" t="inlineStr">
        <is>
          <t>date</t>
        </is>
      </c>
      <c r="D1" s="2" t="inlineStr">
        <is>
          <t>subject</t>
        </is>
      </c>
      <c r="E1" s="2" t="inlineStr">
        <is>
          <t>tweet_text</t>
        </is>
      </c>
      <c r="F1" s="1" t="inlineStr">
        <is>
          <t>url</t>
        </is>
      </c>
      <c r="G1" s="1" t="inlineStr">
        <is>
          <t>link</t>
        </is>
      </c>
    </row>
    <row r="2">
      <c r="A2" t="inlineStr">
        <is>
          <t>@greg16676935420</t>
        </is>
      </c>
      <c r="B2" t="inlineStr">
        <is>
          <t>@elonmusk</t>
        </is>
      </c>
      <c r="C2" t="inlineStr">
        <is>
          <t>2025-11-02</t>
        </is>
      </c>
      <c r="D2" s="3" t="inlineStr">
        <is>
          <t>AI post</t>
        </is>
      </c>
      <c r="E2" s="3" t="inlineStr">
        <is>
          <t>I’ve been saying this for years</t>
        </is>
      </c>
      <c r="F2" t="inlineStr">
        <is>
          <t>https://x.com/greg16676935420/status/1985049943036616879</t>
        </is>
      </c>
      <c r="G2">
        <f>HYPERLINK("https://x.com/greg16676935420/status/1985049943036616879","open")</f>
        <v/>
      </c>
    </row>
    <row r="3">
      <c r="A3" t="inlineStr">
        <is>
          <t>@greg16676935420</t>
        </is>
      </c>
      <c r="B3" t="inlineStr">
        <is>
          <t>@elonmusk</t>
        </is>
      </c>
      <c r="C3" t="inlineStr">
        <is>
          <t>2025-10-31</t>
        </is>
      </c>
      <c r="D3" s="3" t="inlineStr">
        <is>
          <t>bot post</t>
        </is>
      </c>
      <c r="E3" s="3" t="inlineStr">
        <is>
          <t>Bro I’m about to go trick or treating why'd you have to drop this right now</t>
        </is>
      </c>
      <c r="F3" t="inlineStr">
        <is>
          <t>https://x.com/greg16676935420/status/1984280108312727868</t>
        </is>
      </c>
      <c r="G3">
        <f>HYPERLINK("https://x.com/greg16676935420/status/1984280108312727868","open")</f>
        <v/>
      </c>
    </row>
    <row r="4">
      <c r="A4" t="inlineStr">
        <is>
          <t>@greg16676935420</t>
        </is>
      </c>
      <c r="B4" t="inlineStr">
        <is>
          <t>@elonmusk</t>
        </is>
      </c>
      <c r="C4" t="inlineStr">
        <is>
          <t>2025-10-31</t>
        </is>
      </c>
      <c r="D4" s="3" t="inlineStr">
        <is>
          <t>vote post</t>
        </is>
      </c>
      <c r="E4" s="3" t="inlineStr">
        <is>
          <t>It seems like everyone is in favor of your big package Elon</t>
        </is>
      </c>
      <c r="F4" t="inlineStr">
        <is>
          <t>https://x.com/greg16676935420/status/1983638696206483907</t>
        </is>
      </c>
      <c r="G4">
        <f>HYPERLINK("https://x.com/greg16676935420/status/1983638696206483907","open")</f>
        <v/>
      </c>
    </row>
    <row r="5">
      <c r="A5" t="inlineStr">
        <is>
          <t>@greg16676935420</t>
        </is>
      </c>
      <c r="B5" t="inlineStr">
        <is>
          <t>@elonmusk</t>
        </is>
      </c>
      <c r="C5" t="inlineStr">
        <is>
          <t>2025-10-24</t>
        </is>
      </c>
      <c r="D5" s="3" t="inlineStr">
        <is>
          <t>algorithm post</t>
        </is>
      </c>
      <c r="E5" s="3" t="inlineStr">
        <is>
          <t>That explains why I’m not getting 1.2 million views on every post. Thanks Elon!</t>
        </is>
      </c>
      <c r="F5" t="inlineStr">
        <is>
          <t>https://x.com/greg16676935420/status/1982837368345538628</t>
        </is>
      </c>
      <c r="G5">
        <f>HYPERLINK("https://x.com/greg16676935420/status/1982837368345538628","open")</f>
        <v/>
      </c>
    </row>
    <row r="6">
      <c r="A6" t="inlineStr">
        <is>
          <t>@greg16676935420</t>
        </is>
      </c>
      <c r="B6" t="inlineStr">
        <is>
          <t>@ryancohen</t>
        </is>
      </c>
      <c r="C6" t="inlineStr">
        <is>
          <t>2025-10-23</t>
        </is>
      </c>
      <c r="D6" s="3" t="inlineStr">
        <is>
          <t>Mario Kart challenge</t>
        </is>
      </c>
      <c r="E6" s="3" t="inlineStr">
        <is>
          <t>Just turned on my N64 come on over</t>
        </is>
      </c>
      <c r="F6" t="inlineStr">
        <is>
          <t>https://x.com/greg16676935420/status/1981169595492028503</t>
        </is>
      </c>
      <c r="G6">
        <f>HYPERLINK("https://x.com/greg16676935420/status/1981169595492028503","open")</f>
        <v/>
      </c>
    </row>
    <row r="7">
      <c r="A7" t="inlineStr">
        <is>
          <t>@greg16676935420</t>
        </is>
      </c>
      <c r="B7" t="inlineStr">
        <is>
          <t>@elonmusk</t>
        </is>
      </c>
      <c r="C7" t="inlineStr">
        <is>
          <t>2025-10-22</t>
        </is>
      </c>
      <c r="D7" s="3" t="inlineStr">
        <is>
          <t>NASA post</t>
        </is>
      </c>
      <c r="E7" s="3" t="inlineStr">
        <is>
          <t>Hey @grok what do you think my IQ is?</t>
        </is>
      </c>
      <c r="F7" t="inlineStr">
        <is>
          <t>https://x.com/greg16676935420/status/1981053674043691345</t>
        </is>
      </c>
      <c r="G7">
        <f>HYPERLINK("https://x.com/greg16676935420/status/1981053674043691345","open")</f>
        <v/>
      </c>
    </row>
    <row r="8">
      <c r="A8" t="inlineStr">
        <is>
          <t>@greg16676935420</t>
        </is>
      </c>
      <c r="B8" t="inlineStr">
        <is>
          <t>@elonmusk</t>
        </is>
      </c>
      <c r="C8" t="inlineStr">
        <is>
          <t>2025-10-20</t>
        </is>
      </c>
      <c r="D8" s="3" t="inlineStr">
        <is>
          <t>X chat post</t>
        </is>
      </c>
      <c r="E8" s="3" t="inlineStr">
        <is>
          <t>Elon can you message me in 𝕏 chat I want to test something quick</t>
        </is>
      </c>
      <c r="F8" t="inlineStr">
        <is>
          <t>https://x.com/greg16676935420/status/1980349369741373451</t>
        </is>
      </c>
      <c r="G8">
        <f>HYPERLINK("https://x.com/greg16676935420/status/1980349369741373451","open")</f>
        <v/>
      </c>
    </row>
    <row r="9">
      <c r="A9" t="inlineStr">
        <is>
          <t>@greg16676935420</t>
        </is>
      </c>
      <c r="B9" t="inlineStr">
        <is>
          <t>@elonmusk</t>
        </is>
      </c>
      <c r="C9" t="inlineStr">
        <is>
          <t>2025-10-20</t>
        </is>
      </c>
      <c r="D9" s="3" t="inlineStr">
        <is>
          <t>Imagine post</t>
        </is>
      </c>
      <c r="E9" s="3" t="inlineStr">
        <is>
          <t>Would</t>
        </is>
      </c>
      <c r="F9" t="inlineStr">
        <is>
          <t>https://x.com/greg16676935420/status/1980338825718317510</t>
        </is>
      </c>
      <c r="G9">
        <f>HYPERLINK("https://x.com/greg16676935420/status/1980338825718317510","open")</f>
        <v/>
      </c>
    </row>
    <row r="10">
      <c r="A10" t="inlineStr">
        <is>
          <t>@greg16676935420</t>
        </is>
      </c>
      <c r="B10" t="inlineStr">
        <is>
          <t>@elonmusk</t>
        </is>
      </c>
      <c r="C10" t="inlineStr">
        <is>
          <t>2025-10-17</t>
        </is>
      </c>
      <c r="D10" s="3" t="inlineStr">
        <is>
          <t>Premium post</t>
        </is>
      </c>
      <c r="E10" s="3" t="inlineStr">
        <is>
          <t>Is this still happening @elonmusk?</t>
        </is>
      </c>
      <c r="F10" t="inlineStr">
        <is>
          <t>https://x.com/greg16676935420/status/1979236881192882270</t>
        </is>
      </c>
      <c r="G10">
        <f>HYPERLINK("https://x.com/greg16676935420/status/1979236881192882270","open")</f>
        <v/>
      </c>
    </row>
    <row r="11">
      <c r="A11" t="inlineStr">
        <is>
          <t>@greg16676935420</t>
        </is>
      </c>
      <c r="B11" t="inlineStr">
        <is>
          <t>@elonmusk</t>
        </is>
      </c>
      <c r="C11" t="inlineStr">
        <is>
          <t>2025-10-01</t>
        </is>
      </c>
      <c r="D11" s="3" t="inlineStr">
        <is>
          <t>notification test</t>
        </is>
      </c>
      <c r="E11" s="3" t="inlineStr">
        <is>
          <t>I got the notification 3 minutes after you posted</t>
        </is>
      </c>
      <c r="F11" t="inlineStr">
        <is>
          <t>https://x.com/greg16676935420/status/1973518184750915604</t>
        </is>
      </c>
      <c r="G11">
        <f>HYPERLINK("https://x.com/greg16676935420/status/1973518184750915604","open")</f>
        <v/>
      </c>
    </row>
    <row r="12">
      <c r="A12" t="inlineStr">
        <is>
          <t>@greg16676935420</t>
        </is>
      </c>
      <c r="B12" t="inlineStr">
        <is>
          <t>@elonmusk</t>
        </is>
      </c>
      <c r="C12" t="inlineStr">
        <is>
          <t>2025-10-01</t>
        </is>
      </c>
      <c r="D12" s="3" t="inlineStr">
        <is>
          <t>bot post</t>
        </is>
      </c>
      <c r="E12" s="3" t="inlineStr">
        <is>
          <t>I thought only girls do that</t>
        </is>
      </c>
      <c r="F12" t="inlineStr">
        <is>
          <t>https://x.com/greg16676935420/status/1973512006729892316</t>
        </is>
      </c>
      <c r="G12">
        <f>HYPERLINK("https://x.com/greg16676935420/status/1973512006729892316","open")</f>
        <v/>
      </c>
    </row>
    <row r="13">
      <c r="A13" t="inlineStr">
        <is>
          <t>@greg16676935420</t>
        </is>
      </c>
      <c r="B13" t="inlineStr">
        <is>
          <t>@elonmusk</t>
        </is>
      </c>
      <c r="C13" t="inlineStr">
        <is>
          <t>2025-08-28</t>
        </is>
      </c>
      <c r="D13" s="3" t="inlineStr">
        <is>
          <t>showerhead post</t>
        </is>
      </c>
      <c r="E13" s="3" t="inlineStr">
        <is>
          <t>Did you watch the baseball game Elon?</t>
        </is>
      </c>
      <c r="F13" t="inlineStr">
        <is>
          <t>https://x.com/greg16676935420/status/1984851429975343603</t>
        </is>
      </c>
      <c r="G13">
        <f>HYPERLINK("https://x.com/greg16676935420/status/1984851429975343603","open")</f>
        <v/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31" customWidth="1" min="4" max="4"/>
    <col width="60" customWidth="1" min="5" max="5"/>
    <col width="58" customWidth="1" min="6" max="6"/>
    <col width="60" customWidth="1" min="7" max="7"/>
  </cols>
  <sheetData>
    <row r="1">
      <c r="A1" s="1" t="inlineStr">
        <is>
          <t>from_handle</t>
        </is>
      </c>
      <c r="B1" s="1" t="inlineStr">
        <is>
          <t>to_handle</t>
        </is>
      </c>
      <c r="C1" s="1" t="inlineStr">
        <is>
          <t>date</t>
        </is>
      </c>
      <c r="D1" s="2" t="inlineStr">
        <is>
          <t>subject</t>
        </is>
      </c>
      <c r="E1" s="2" t="inlineStr">
        <is>
          <t>tweet_text</t>
        </is>
      </c>
      <c r="F1" s="1" t="inlineStr">
        <is>
          <t>url</t>
        </is>
      </c>
      <c r="G1" s="1" t="inlineStr">
        <is>
          <t>link</t>
        </is>
      </c>
    </row>
    <row r="2">
      <c r="A2" t="inlineStr">
        <is>
          <t>@greg16676935420</t>
        </is>
      </c>
      <c r="B2" t="inlineStr">
        <is>
          <t>@elonmusk</t>
        </is>
      </c>
      <c r="C2" t="inlineStr">
        <is>
          <t>2025-11-02</t>
        </is>
      </c>
      <c r="D2" s="3" t="inlineStr">
        <is>
          <t>AI post</t>
        </is>
      </c>
      <c r="E2" s="3" t="inlineStr">
        <is>
          <t>I’ve been saying this for years</t>
        </is>
      </c>
      <c r="F2" t="inlineStr">
        <is>
          <t>https://x.com/greg16676935420/status/1985049943036616879</t>
        </is>
      </c>
      <c r="G2">
        <f>HYPERLINK("https://x.com/greg16676935420/status/1985049943036616879","open")</f>
        <v/>
      </c>
    </row>
    <row r="3">
      <c r="A3" t="inlineStr">
        <is>
          <t>@greg16676935420</t>
        </is>
      </c>
      <c r="B3" t="inlineStr">
        <is>
          <t>@elonmusk</t>
        </is>
      </c>
      <c r="C3" t="inlineStr">
        <is>
          <t>2025-10-31</t>
        </is>
      </c>
      <c r="D3" s="3" t="inlineStr">
        <is>
          <t>bot post</t>
        </is>
      </c>
      <c r="E3" s="3" t="inlineStr">
        <is>
          <t>Bro I’m about to go trick or treating why'd you have to drop this right now</t>
        </is>
      </c>
      <c r="F3" t="inlineStr">
        <is>
          <t>https://x.com/greg16676935420/status/1984280108312727868</t>
        </is>
      </c>
      <c r="G3">
        <f>HYPERLINK("https://x.com/greg16676935420/status/1984280108312727868","open")</f>
        <v/>
      </c>
    </row>
    <row r="4">
      <c r="A4" t="inlineStr">
        <is>
          <t>@greg16676935420</t>
        </is>
      </c>
      <c r="B4" t="inlineStr">
        <is>
          <t>@elonmusk</t>
        </is>
      </c>
      <c r="C4" t="inlineStr">
        <is>
          <t>2025-10-31</t>
        </is>
      </c>
      <c r="D4" s="3" t="inlineStr">
        <is>
          <t>vote post</t>
        </is>
      </c>
      <c r="E4" s="3" t="inlineStr">
        <is>
          <t>It seems like everyone is in favor of your big package Elon</t>
        </is>
      </c>
      <c r="F4" t="inlineStr">
        <is>
          <t>https://x.com/greg16676935420/status/1983638696206483907</t>
        </is>
      </c>
      <c r="G4">
        <f>HYPERLINK("https://x.com/greg16676935420/status/1983638696206483907","open")</f>
        <v/>
      </c>
    </row>
    <row r="5">
      <c r="A5" t="inlineStr">
        <is>
          <t>@greg16676935420</t>
        </is>
      </c>
      <c r="B5" t="inlineStr">
        <is>
          <t>@elonmusk</t>
        </is>
      </c>
      <c r="C5" t="inlineStr">
        <is>
          <t>2025-10-24</t>
        </is>
      </c>
      <c r="D5" s="3" t="inlineStr">
        <is>
          <t>algorithm post</t>
        </is>
      </c>
      <c r="E5" s="3" t="inlineStr">
        <is>
          <t>That explains why I’m not getting 1.2 million views on every post. Thanks Elon!</t>
        </is>
      </c>
      <c r="F5" t="inlineStr">
        <is>
          <t>https://x.com/greg16676935420/status/1982837368345538628</t>
        </is>
      </c>
      <c r="G5">
        <f>HYPERLINK("https://x.com/greg16676935420/status/1982837368345538628","open")</f>
        <v/>
      </c>
    </row>
    <row r="6">
      <c r="A6" t="inlineStr">
        <is>
          <t>@greg16676935420</t>
        </is>
      </c>
      <c r="B6" t="inlineStr">
        <is>
          <t>@elonmusk</t>
        </is>
      </c>
      <c r="C6" t="inlineStr">
        <is>
          <t>2025-10-22</t>
        </is>
      </c>
      <c r="D6" s="3" t="inlineStr">
        <is>
          <t>NASA post</t>
        </is>
      </c>
      <c r="E6" s="3" t="inlineStr">
        <is>
          <t>Hey @grok what do you think my IQ is?</t>
        </is>
      </c>
      <c r="F6" t="inlineStr">
        <is>
          <t>https://x.com/greg16676935420/status/1981053674043691345</t>
        </is>
      </c>
      <c r="G6">
        <f>HYPERLINK("https://x.com/greg16676935420/status/1981053674043691345","open")</f>
        <v/>
      </c>
    </row>
    <row r="7">
      <c r="A7" t="inlineStr">
        <is>
          <t>@greg16676935420</t>
        </is>
      </c>
      <c r="B7" t="inlineStr">
        <is>
          <t>@elonmusk</t>
        </is>
      </c>
      <c r="C7" t="inlineStr">
        <is>
          <t>2025-10-20</t>
        </is>
      </c>
      <c r="D7" s="3" t="inlineStr">
        <is>
          <t>X chat post</t>
        </is>
      </c>
      <c r="E7" s="3" t="inlineStr">
        <is>
          <t>Elon can you message me in 𝕏 chat I want to test something quick</t>
        </is>
      </c>
      <c r="F7" t="inlineStr">
        <is>
          <t>https://x.com/greg16676935420/status/1980349369741373451</t>
        </is>
      </c>
      <c r="G7">
        <f>HYPERLINK("https://x.com/greg16676935420/status/1980349369741373451","open")</f>
        <v/>
      </c>
    </row>
    <row r="8">
      <c r="A8" t="inlineStr">
        <is>
          <t>@greg16676935420</t>
        </is>
      </c>
      <c r="B8" t="inlineStr">
        <is>
          <t>@elonmusk</t>
        </is>
      </c>
      <c r="C8" t="inlineStr">
        <is>
          <t>2025-10-20</t>
        </is>
      </c>
      <c r="D8" s="3" t="inlineStr">
        <is>
          <t>Imagine post</t>
        </is>
      </c>
      <c r="E8" s="3" t="inlineStr">
        <is>
          <t>Would</t>
        </is>
      </c>
      <c r="F8" t="inlineStr">
        <is>
          <t>https://x.com/greg16676935420/status/1980338825718317510</t>
        </is>
      </c>
      <c r="G8">
        <f>HYPERLINK("https://x.com/greg16676935420/status/1980338825718317510","open")</f>
        <v/>
      </c>
    </row>
    <row r="9">
      <c r="A9" t="inlineStr">
        <is>
          <t>@greg16676935420</t>
        </is>
      </c>
      <c r="B9" t="inlineStr">
        <is>
          <t>@elonmusk</t>
        </is>
      </c>
      <c r="C9" t="inlineStr">
        <is>
          <t>2025-10-17</t>
        </is>
      </c>
      <c r="D9" s="3" t="inlineStr">
        <is>
          <t>Premium post</t>
        </is>
      </c>
      <c r="E9" s="3" t="inlineStr">
        <is>
          <t>Is this still happening @elonmusk?</t>
        </is>
      </c>
      <c r="F9" t="inlineStr">
        <is>
          <t>https://x.com/greg16676935420/status/1979236881192882270</t>
        </is>
      </c>
      <c r="G9">
        <f>HYPERLINK("https://x.com/greg16676935420/status/1979236881192882270","open")</f>
        <v/>
      </c>
    </row>
    <row r="10">
      <c r="A10" t="inlineStr">
        <is>
          <t>@EricTrump</t>
        </is>
      </c>
      <c r="B10" t="inlineStr">
        <is>
          <t>@elonmusk</t>
        </is>
      </c>
      <c r="C10" t="inlineStr">
        <is>
          <t>2025-10-09</t>
        </is>
      </c>
      <c r="D10" s="3" t="inlineStr">
        <is>
          <t>Trump post</t>
        </is>
      </c>
      <c r="E10" s="3" t="inlineStr">
        <is>
          <t>Elon represents the best of what we do as Americans better than anybody in the world — which is entrepreneurialism.</t>
        </is>
      </c>
      <c r="F10" t="inlineStr">
        <is>
          <t>https://x.com/EricTrump/status/1976069472885596381</t>
        </is>
      </c>
      <c r="G10">
        <f>HYPERLINK("https://x.com/EricTrump/status/1976069472885596381","open")</f>
        <v/>
      </c>
    </row>
    <row r="11">
      <c r="A11" t="inlineStr">
        <is>
          <t>@elonmusk</t>
        </is>
      </c>
      <c r="B11" t="inlineStr">
        <is>
          <t>@DonaldJTrumpJr</t>
        </is>
      </c>
      <c r="C11" t="inlineStr">
        <is>
          <t>2025-10-09</t>
        </is>
      </c>
      <c r="D11" s="3" t="inlineStr">
        <is>
          <t>Trump post</t>
        </is>
      </c>
      <c r="E11" s="3" t="inlineStr">
        <is>
          <t>❤️</t>
        </is>
      </c>
      <c r="F11" t="inlineStr">
        <is>
          <t>https://x.com/elonmusk/status/1976180302658822193</t>
        </is>
      </c>
      <c r="G11">
        <f>HYPERLINK("https://x.com/elonmusk/status/1976180302658822193","open")</f>
        <v/>
      </c>
    </row>
    <row r="12">
      <c r="A12" t="inlineStr">
        <is>
          <t>@greg16676935420</t>
        </is>
      </c>
      <c r="B12" t="inlineStr">
        <is>
          <t>@elonmusk</t>
        </is>
      </c>
      <c r="C12" t="inlineStr">
        <is>
          <t>2025-10-01</t>
        </is>
      </c>
      <c r="D12" s="3" t="inlineStr">
        <is>
          <t>notification test</t>
        </is>
      </c>
      <c r="E12" s="3" t="inlineStr">
        <is>
          <t>I got the notification 3 minutes after you posted</t>
        </is>
      </c>
      <c r="F12" t="inlineStr">
        <is>
          <t>https://x.com/greg16676935420/status/1973518184750915604</t>
        </is>
      </c>
      <c r="G12">
        <f>HYPERLINK("https://x.com/greg16676935420/status/1973518184750915604","open")</f>
        <v/>
      </c>
    </row>
    <row r="13">
      <c r="A13" t="inlineStr">
        <is>
          <t>@greg16676935420</t>
        </is>
      </c>
      <c r="B13" t="inlineStr">
        <is>
          <t>@elonmusk</t>
        </is>
      </c>
      <c r="C13" t="inlineStr">
        <is>
          <t>2025-10-01</t>
        </is>
      </c>
      <c r="D13" s="3" t="inlineStr">
        <is>
          <t>bot post</t>
        </is>
      </c>
      <c r="E13" s="3" t="inlineStr">
        <is>
          <t>I thought only girls do that</t>
        </is>
      </c>
      <c r="F13" t="inlineStr">
        <is>
          <t>https://x.com/greg16676935420/status/1973512006729892316</t>
        </is>
      </c>
      <c r="G13">
        <f>HYPERLINK("https://x.com/greg16676935420/status/1973512006729892316","open")</f>
        <v/>
      </c>
    </row>
    <row r="14">
      <c r="A14" t="inlineStr">
        <is>
          <t>@elonmusk</t>
        </is>
      </c>
      <c r="B14" t="inlineStr">
        <is>
          <t>@DonaldJTrumpJr</t>
        </is>
      </c>
      <c r="C14" t="inlineStr">
        <is>
          <t>2025-09-16</t>
        </is>
      </c>
      <c r="D14" s="3" t="inlineStr">
        <is>
          <t>military post</t>
        </is>
      </c>
      <c r="E14" s="3" t="inlineStr">
        <is>
          <t>Insane</t>
        </is>
      </c>
      <c r="F14" t="inlineStr">
        <is>
          <t>https://x.com/elonmusk/status/1967944884553437268</t>
        </is>
      </c>
      <c r="G14">
        <f>HYPERLINK("https://x.com/elonmusk/status/1967944884553437268","open")</f>
        <v/>
      </c>
    </row>
    <row r="15">
      <c r="A15" t="inlineStr">
        <is>
          <t>@DonaldJTrumpJr</t>
        </is>
      </c>
      <c r="B15" t="inlineStr">
        <is>
          <t>@elonmusk</t>
        </is>
      </c>
      <c r="C15" t="inlineStr">
        <is>
          <t>2025-08-28</t>
        </is>
      </c>
      <c r="D15" s="3" t="inlineStr">
        <is>
          <t>America Party post</t>
        </is>
      </c>
      <c r="E15" s="3" t="inlineStr">
        <is>
          <t>So you’re telling me it will be out of the news in a few seconds. Only way it disappears faster is if he’s trans.</t>
        </is>
      </c>
      <c r="F15" t="inlineStr">
        <is>
          <t>https://x.com/DonaldJTrumpJr/status/1960749573670101006</t>
        </is>
      </c>
      <c r="G15">
        <f>HYPERLINK("https://x.com/DonaldJTrumpJr/status/1960749573670101006","open")</f>
        <v/>
      </c>
    </row>
    <row r="16">
      <c r="A16" t="inlineStr">
        <is>
          <t>@elonmusk</t>
        </is>
      </c>
      <c r="B16" t="inlineStr">
        <is>
          <t>@DonaldJTrumpJr</t>
        </is>
      </c>
      <c r="C16" t="inlineStr">
        <is>
          <t>2025-08-28</t>
        </is>
      </c>
      <c r="D16" s="3" t="inlineStr">
        <is>
          <t>scarcity post</t>
        </is>
      </c>
      <c r="E16" s="3" t="inlineStr">
        <is>
          <t>Violent crimes per capita by trans-identifying individuals is ~10 times higher than the overall population! Large doses of artificially-administered hormones are driving them to extreme violence and murder. These extreme hormone treatments should be withdrawn by the FDA.</t>
        </is>
      </c>
      <c r="F16" t="inlineStr">
        <is>
          <t>https://x.com/elonmusk/status/1961019671962112050</t>
        </is>
      </c>
      <c r="G16">
        <f>HYPERLINK("https://x.com/elonmusk/status/1961019671962112050","open")</f>
        <v/>
      </c>
    </row>
    <row r="17">
      <c r="A17" t="inlineStr">
        <is>
          <t>@greg16676935420</t>
        </is>
      </c>
      <c r="B17" t="inlineStr">
        <is>
          <t>@elonmusk</t>
        </is>
      </c>
      <c r="C17" t="inlineStr">
        <is>
          <t>2025-08-28</t>
        </is>
      </c>
      <c r="D17" s="3" t="inlineStr">
        <is>
          <t>showerhead post</t>
        </is>
      </c>
      <c r="E17" s="3" t="inlineStr">
        <is>
          <t>Did you watch the baseball game Elon?</t>
        </is>
      </c>
      <c r="F17" t="inlineStr">
        <is>
          <t>https://x.com/greg16676935420/status/1984851429975343603</t>
        </is>
      </c>
      <c r="G17">
        <f>HYPERLINK("https://x.com/greg16676935420/status/1984851429975343603","open")</f>
        <v/>
      </c>
    </row>
    <row r="18">
      <c r="A18" t="inlineStr">
        <is>
          <t>@DonaldJTrumpJr</t>
        </is>
      </c>
      <c r="B18" t="inlineStr">
        <is>
          <t>@Polymarket</t>
        </is>
      </c>
      <c r="C18" t="inlineStr">
        <is>
          <t>2025-08-26</t>
        </is>
      </c>
      <c r="D18" s="3" t="inlineStr">
        <is>
          <t>investment announcement</t>
        </is>
      </c>
      <c r="E18" s="3" t="inlineStr">
        <is>
          <t>Pleased to announce that my fund @1789capital has invested in @Polymarket and that I will be joining the team as a Strategic Advisor.</t>
        </is>
      </c>
      <c r="F18" t="inlineStr">
        <is>
          <t>https://x.com/DonaldJTrumpJr/status/1960367380724351416</t>
        </is>
      </c>
      <c r="G18">
        <f>HYPERLINK("https://x.com/DonaldJTrumpJr/status/1960367380724351416","open")</f>
        <v/>
      </c>
    </row>
    <row r="19">
      <c r="A19" t="inlineStr">
        <is>
          <t>@elonmusk</t>
        </is>
      </c>
      <c r="B19" t="inlineStr">
        <is>
          <t>@greg16676935420</t>
        </is>
      </c>
      <c r="C19" t="inlineStr">
        <is>
          <t>2025-08-15</t>
        </is>
      </c>
      <c r="D19" s="3" t="inlineStr">
        <is>
          <t>timeline post</t>
        </is>
      </c>
      <c r="E19" s="3" t="inlineStr">
        <is>
          <t>(video response)</t>
        </is>
      </c>
      <c r="F19" t="inlineStr">
        <is>
          <t>https://x.com/elonmusk/status/1956216649696338190</t>
        </is>
      </c>
      <c r="G19">
        <f>HYPERLINK("https://x.com/elonmusk/status/1956216649696338190","open")</f>
        <v/>
      </c>
    </row>
    <row r="20">
      <c r="A20" t="inlineStr">
        <is>
          <t>@elonmusk</t>
        </is>
      </c>
      <c r="B20" t="inlineStr">
        <is>
          <t>@greg16676935420</t>
        </is>
      </c>
      <c r="C20" t="inlineStr">
        <is>
          <t>2025-07-28</t>
        </is>
      </c>
      <c r="D20" s="3" t="inlineStr">
        <is>
          <t>bot challenge</t>
        </is>
      </c>
      <c r="E20" s="3" t="inlineStr">
        <is>
          <t>🎯😂</t>
        </is>
      </c>
      <c r="F20" t="inlineStr">
        <is>
          <t>https://x.com/elonmusk/status/1949937098322233583</t>
        </is>
      </c>
      <c r="G20">
        <f>HYPERLINK("https://x.com/elonmusk/status/1949937098322233583","open")</f>
        <v/>
      </c>
    </row>
    <row r="21">
      <c r="A21" t="inlineStr">
        <is>
          <t>@saylor</t>
        </is>
      </c>
      <c r="B21" t="inlineStr">
        <is>
          <t>@ryancohen</t>
        </is>
      </c>
      <c r="C21" t="inlineStr">
        <is>
          <t>2025-07-14</t>
        </is>
      </c>
      <c r="D21" s="3" t="inlineStr">
        <is>
          <t>Bitcoin price post</t>
        </is>
      </c>
      <c r="E21" s="3" t="inlineStr">
        <is>
          <t>A ₿uying Opportunity</t>
        </is>
      </c>
      <c r="F21" t="inlineStr">
        <is>
          <t>https://x.com/saylor/status/1944558457589211552</t>
        </is>
      </c>
      <c r="G21">
        <f>HYPERLINK("https://x.com/saylor/status/1944558457589211552","open")</f>
        <v/>
      </c>
    </row>
    <row r="22">
      <c r="A22" t="inlineStr">
        <is>
          <t>@elonmusk</t>
        </is>
      </c>
      <c r="B22" t="inlineStr">
        <is>
          <t>@DonaldJTrumpJr</t>
        </is>
      </c>
      <c r="C22" t="inlineStr">
        <is>
          <t>2025-05-16</t>
        </is>
      </c>
      <c r="D22" s="3" t="inlineStr">
        <is>
          <t>Comey post</t>
        </is>
      </c>
      <c r="E22" s="3" t="inlineStr">
        <is>
          <t>Advocating murder of the President is a serious crime</t>
        </is>
      </c>
      <c r="F22" t="inlineStr">
        <is>
          <t>https://x.com/elonmusk/status/1923218250973819245</t>
        </is>
      </c>
      <c r="G22">
        <f>HYPERLINK("https://x.com/elonmusk/status/1923218250973819245","open")</f>
        <v/>
      </c>
    </row>
    <row r="23">
      <c r="A23" t="inlineStr">
        <is>
          <t>@DonaldJTrumpJr</t>
        </is>
      </c>
      <c r="B23" t="inlineStr">
        <is>
          <t>@elonmusk</t>
        </is>
      </c>
      <c r="C23" t="inlineStr">
        <is>
          <t>2025-05-01</t>
        </is>
      </c>
      <c r="D23" s="3" t="inlineStr">
        <is>
          <t>Steve Witkoff post</t>
        </is>
      </c>
      <c r="E23" s="3" t="inlineStr">
        <is>
          <t>The best!!!</t>
        </is>
      </c>
      <c r="F23" t="inlineStr">
        <is>
          <t>https://x.com/DonaldJTrumpJr/status/1918003769763352576</t>
        </is>
      </c>
      <c r="G23">
        <f>HYPERLINK("https://x.com/DonaldJTrumpJr/status/1918003769763352576","open")</f>
        <v/>
      </c>
    </row>
    <row r="24">
      <c r="A24" t="inlineStr">
        <is>
          <t>@elonmusk</t>
        </is>
      </c>
      <c r="B24" t="inlineStr">
        <is>
          <t>@DonaldJTrumpJr</t>
        </is>
      </c>
      <c r="C24" t="inlineStr">
        <is>
          <t>2025-04-30</t>
        </is>
      </c>
      <c r="D24" s="3" t="inlineStr">
        <is>
          <t>Poilievre post</t>
        </is>
      </c>
      <c r="E24" s="3" t="inlineStr">
        <is>
          <t>Wow</t>
        </is>
      </c>
      <c r="F24" t="inlineStr">
        <is>
          <t>https://x.com/elonmusk/status/1917448805894742132</t>
        </is>
      </c>
      <c r="G24">
        <f>HYPERLINK("https://x.com/elonmusk/status/1917448805894742132","open")</f>
        <v/>
      </c>
    </row>
    <row r="25">
      <c r="A25" t="inlineStr">
        <is>
          <t>@elonmusk</t>
        </is>
      </c>
      <c r="B25" t="inlineStr">
        <is>
          <t>@DonaldJTrumpJr</t>
        </is>
      </c>
      <c r="C25" t="inlineStr">
        <is>
          <t>2025-04-26</t>
        </is>
      </c>
      <c r="D25" s="3" t="inlineStr">
        <is>
          <t>Trump post</t>
        </is>
      </c>
      <c r="E25" s="3" t="inlineStr">
        <is>
          <t>True</t>
        </is>
      </c>
      <c r="F25" t="inlineStr">
        <is>
          <t>https://x.com/elonmusk/status/1916143563353575887</t>
        </is>
      </c>
      <c r="G25">
        <f>HYPERLINK("https://x.com/elonmusk/status/1916143563353575887","open")</f>
        <v/>
      </c>
    </row>
    <row r="26">
      <c r="A26" t="inlineStr">
        <is>
          <t>@elonmusk</t>
        </is>
      </c>
      <c r="B26" t="inlineStr">
        <is>
          <t>@DonaldJTrumpJr</t>
        </is>
      </c>
      <c r="C26" t="inlineStr">
        <is>
          <t>2025-04-24</t>
        </is>
      </c>
      <c r="D26" s="3" t="inlineStr">
        <is>
          <t>Zelensky post</t>
        </is>
      </c>
      <c r="E26" s="3" t="inlineStr">
        <is>
          <t>True</t>
        </is>
      </c>
      <c r="F26" t="inlineStr">
        <is>
          <t>https://x.com/elonmusk/status/1915417975072710748</t>
        </is>
      </c>
      <c r="G26">
        <f>HYPERLINK("https://x.com/elonmusk/status/1915417975072710748","open")</f>
        <v/>
      </c>
    </row>
    <row r="27">
      <c r="A27" t="inlineStr">
        <is>
          <t>@elonmusk</t>
        </is>
      </c>
      <c r="B27" t="inlineStr">
        <is>
          <t>@DonaldJTrumpJr</t>
        </is>
      </c>
      <c r="C27" t="inlineStr">
        <is>
          <t>2025-04-15</t>
        </is>
      </c>
      <c r="D27" s="3" t="inlineStr">
        <is>
          <t>peace post</t>
        </is>
      </c>
      <c r="E27" s="3" t="inlineStr">
        <is>
          <t>We are lucky to have Steve Witkoff doing this</t>
        </is>
      </c>
      <c r="F27" t="inlineStr">
        <is>
          <t>https://x.com/elonmusk/status/1912128279831871564</t>
        </is>
      </c>
      <c r="G27">
        <f>HYPERLINK("https://x.com/elonmusk/status/1912128279831871564","open")</f>
        <v/>
      </c>
    </row>
    <row r="28">
      <c r="A28" t="inlineStr">
        <is>
          <t>@elonmusk</t>
        </is>
      </c>
      <c r="B28" t="inlineStr">
        <is>
          <t>@DonaldJTrumpJr</t>
        </is>
      </c>
      <c r="C28" t="inlineStr">
        <is>
          <t>2025-04-14</t>
        </is>
      </c>
      <c r="D28" s="3" t="inlineStr">
        <is>
          <t>Witkoff post</t>
        </is>
      </c>
      <c r="E28" s="3" t="inlineStr">
        <is>
          <t>Wow</t>
        </is>
      </c>
      <c r="F28" t="inlineStr">
        <is>
          <t>https://x.com/elonmusk/status/1911772186315989367</t>
        </is>
      </c>
      <c r="G28">
        <f>HYPERLINK("https://x.com/elonmusk/status/1911772186315989367","open")</f>
        <v/>
      </c>
    </row>
    <row r="29">
      <c r="A29" t="inlineStr">
        <is>
          <t>@elonmusk</t>
        </is>
      </c>
      <c r="B29" t="inlineStr">
        <is>
          <t>@DonaldJTrumpJr</t>
        </is>
      </c>
      <c r="C29" t="inlineStr">
        <is>
          <t>2025-04-08</t>
        </is>
      </c>
      <c r="D29" s="3" t="inlineStr">
        <is>
          <t>Epstein post</t>
        </is>
      </c>
      <c r="E29" s="3" t="inlineStr">
        <is>
          <t>Wow</t>
        </is>
      </c>
      <c r="F29" t="inlineStr">
        <is>
          <t>https://x.com/elonmusk/status/1909674621714284824</t>
        </is>
      </c>
      <c r="G29">
        <f>HYPERLINK("https://x.com/elonmusk/status/1909674621714284824","open")</f>
        <v/>
      </c>
    </row>
    <row r="30">
      <c r="A30" t="inlineStr">
        <is>
          <t>@saylor</t>
        </is>
      </c>
      <c r="B30" t="inlineStr">
        <is>
          <t>@ryancohen</t>
        </is>
      </c>
      <c r="C30" t="inlineStr">
        <is>
          <t>2025-04-03</t>
        </is>
      </c>
      <c r="D30" s="3" t="inlineStr">
        <is>
          <t>Bitcoin sale post</t>
        </is>
      </c>
      <c r="E30" s="3" t="inlineStr">
        <is>
          <t>Bitcoin is on sale, Ryan.</t>
        </is>
      </c>
      <c r="F30" t="inlineStr">
        <is>
          <t>https://x.com/saylor/status/1907910614959509773</t>
        </is>
      </c>
      <c r="G30">
        <f>HYPERLINK("https://x.com/saylor/status/1907910614959509773","open")</f>
        <v/>
      </c>
    </row>
    <row r="31">
      <c r="A31" t="inlineStr">
        <is>
          <t>@saylor</t>
        </is>
      </c>
      <c r="B31" t="inlineStr">
        <is>
          <t>@ryancohen</t>
        </is>
      </c>
      <c r="C31" t="inlineStr">
        <is>
          <t>2025-03-25</t>
        </is>
      </c>
      <c r="D31" s="3" t="inlineStr">
        <is>
          <t>GameStop Bitcoin announcement</t>
        </is>
      </c>
      <c r="E31" s="3" t="inlineStr">
        <is>
          <t>A step in the right direction.</t>
        </is>
      </c>
      <c r="F31" t="inlineStr">
        <is>
          <t>https://x.com/saylor/status/1904659019681145214</t>
        </is>
      </c>
      <c r="G31">
        <f>HYPERLINK("https://x.com/saylor/status/1904659019681145214","open")</f>
        <v/>
      </c>
    </row>
    <row r="32">
      <c r="A32" t="inlineStr">
        <is>
          <t>@saylor</t>
        </is>
      </c>
      <c r="B32" t="inlineStr">
        <is>
          <t>@ryancohen</t>
        </is>
      </c>
      <c r="C32" t="inlineStr">
        <is>
          <t>2025-03-25</t>
        </is>
      </c>
      <c r="D32" s="3" t="inlineStr">
        <is>
          <t>Bitcoin post</t>
        </is>
      </c>
      <c r="E32" s="3" t="inlineStr">
        <is>
          <t>Welcome to Team Bitcoin, @RyanCohen. $GME 🚀</t>
        </is>
      </c>
      <c r="F32" t="inlineStr">
        <is>
          <t>https://x.com/saylor/status/1904656304200962239</t>
        </is>
      </c>
      <c r="G32">
        <f>HYPERLINK("https://x.com/saylor/status/1904656304200962239","open")</f>
        <v/>
      </c>
    </row>
    <row r="33">
      <c r="A33" t="inlineStr">
        <is>
          <t>@EricTrump</t>
        </is>
      </c>
      <c r="B33" t="inlineStr">
        <is>
          <t>@elonmusk</t>
        </is>
      </c>
      <c r="C33" t="inlineStr">
        <is>
          <t>2025-03-19</t>
        </is>
      </c>
      <c r="D33" s="3" t="inlineStr">
        <is>
          <t>rescue post</t>
        </is>
      </c>
      <c r="E33" s="3" t="inlineStr">
        <is>
          <t>Thank you @elonmusk on behalf of all Americans. You are truly a national treasure.</t>
        </is>
      </c>
      <c r="F33" t="inlineStr">
        <is>
          <t>https://x.com/EricTrump/status/1902149405915922492</t>
        </is>
      </c>
      <c r="G33">
        <f>HYPERLINK("https://x.com/EricTrump/status/1902149405915922492","open")</f>
        <v/>
      </c>
    </row>
    <row r="34">
      <c r="A34" t="inlineStr">
        <is>
          <t>@saylor</t>
        </is>
      </c>
      <c r="B34" t="inlineStr">
        <is>
          <t>@EricTrump</t>
        </is>
      </c>
      <c r="C34" t="inlineStr">
        <is>
          <t>2025-03-03</t>
        </is>
      </c>
      <c r="D34" s="3" t="inlineStr">
        <is>
          <t>post</t>
        </is>
      </c>
      <c r="E34" s="3" t="inlineStr">
        <is>
          <t>HODL</t>
        </is>
      </c>
      <c r="F34" t="inlineStr">
        <is>
          <t>https://x.com/saylor/status/1896561335389090139</t>
        </is>
      </c>
      <c r="G34">
        <f>HYPERLINK("https://x.com/saylor/status/1896561335389090139","open")</f>
        <v/>
      </c>
    </row>
    <row r="35">
      <c r="A35" t="inlineStr">
        <is>
          <t>@saylor</t>
        </is>
      </c>
      <c r="B35" t="inlineStr">
        <is>
          <t>@EricTrump</t>
        </is>
      </c>
      <c r="C35" t="inlineStr">
        <is>
          <t>2025-03-03</t>
        </is>
      </c>
      <c r="D35" s="3" t="inlineStr">
        <is>
          <t>post</t>
        </is>
      </c>
      <c r="E35" s="3" t="inlineStr">
        <is>
          <t>Bitcoin never sleeps.</t>
        </is>
      </c>
      <c r="F35" t="inlineStr">
        <is>
          <t>https://x.com/saylor/status/1896411358499107178</t>
        </is>
      </c>
      <c r="G35">
        <f>HYPERLINK("https://x.com/saylor/status/1896411358499107178","open")</f>
        <v/>
      </c>
    </row>
    <row r="36">
      <c r="A36" t="inlineStr">
        <is>
          <t>@saylor</t>
        </is>
      </c>
      <c r="B36" t="inlineStr">
        <is>
          <t>@EricTrump</t>
        </is>
      </c>
      <c r="C36" t="inlineStr">
        <is>
          <t>2025-03-02</t>
        </is>
      </c>
      <c r="D36" s="3" t="inlineStr">
        <is>
          <t>post</t>
        </is>
      </c>
      <c r="E36" s="3" t="inlineStr">
        <is>
          <t>I also love Bitcoin.</t>
        </is>
      </c>
      <c r="F36" t="inlineStr">
        <is>
          <t>https://x.com/saylor/status/1896246197998006730</t>
        </is>
      </c>
      <c r="G36">
        <f>HYPERLINK("https://x.com/saylor/status/1896246197998006730","open")</f>
        <v/>
      </c>
    </row>
    <row r="37">
      <c r="A37" t="inlineStr">
        <is>
          <t>@saylor</t>
        </is>
      </c>
      <c r="B37" t="inlineStr">
        <is>
          <t>@EricTrump</t>
        </is>
      </c>
      <c r="C37" t="inlineStr">
        <is>
          <t>2025-02-25</t>
        </is>
      </c>
      <c r="D37" s="3" t="inlineStr">
        <is>
          <t>post</t>
        </is>
      </c>
      <c r="E37" s="3" t="inlineStr">
        <is>
          <t>Volatility is a gift to the faithful.</t>
        </is>
      </c>
      <c r="F37" t="inlineStr">
        <is>
          <t>https://x.com/saylor/status/1894373799845372364</t>
        </is>
      </c>
      <c r="G37">
        <f>HYPERLINK("https://x.com/saylor/status/1894373799845372364","open")</f>
        <v/>
      </c>
    </row>
    <row r="38">
      <c r="A38" t="inlineStr">
        <is>
          <t>@EricTrump</t>
        </is>
      </c>
      <c r="B38" t="inlineStr">
        <is>
          <t>@saylor</t>
        </is>
      </c>
      <c r="C38" t="inlineStr">
        <is>
          <t>2025-02-07</t>
        </is>
      </c>
      <c r="D38" s="3" t="inlineStr">
        <is>
          <t>post</t>
        </is>
      </c>
      <c r="E38" s="3" t="inlineStr">
        <is>
          <t>Best cause in the world! @StJude @saylor</t>
        </is>
      </c>
      <c r="F38" t="inlineStr">
        <is>
          <t>https://x.com/EricTrump/status/1887938698316333291</t>
        </is>
      </c>
      <c r="G38">
        <f>HYPERLINK("https://x.com/EricTrump/status/1887938698316333291","open")</f>
        <v/>
      </c>
    </row>
    <row r="39">
      <c r="A39" t="inlineStr">
        <is>
          <t>@saylor</t>
        </is>
      </c>
      <c r="B39" t="inlineStr">
        <is>
          <t>@EricTrump</t>
        </is>
      </c>
      <c r="C39" t="inlineStr">
        <is>
          <t>2025-02-07</t>
        </is>
      </c>
      <c r="D39" s="3" t="inlineStr">
        <is>
          <t>Trump post</t>
        </is>
      </c>
      <c r="E39" s="3" t="inlineStr">
        <is>
          <t>Congratulations @LaraLeaTrump &amp; @EricTrump on hosting an elegant benefit for @StJude last night.</t>
        </is>
      </c>
      <c r="F39" t="inlineStr">
        <is>
          <t>https://x.com/saylor/status/1887938698316333291</t>
        </is>
      </c>
      <c r="G39">
        <f>HYPERLINK("https://x.com/saylor/status/1887938698316333291","open")</f>
        <v/>
      </c>
    </row>
    <row r="40">
      <c r="A40" t="inlineStr">
        <is>
          <t>@saylor</t>
        </is>
      </c>
      <c r="B40" t="inlineStr">
        <is>
          <t>@LaraLeaTrump</t>
        </is>
      </c>
      <c r="C40" t="inlineStr">
        <is>
          <t>2025-02-07</t>
        </is>
      </c>
      <c r="D40" s="3" t="inlineStr">
        <is>
          <t>post</t>
        </is>
      </c>
      <c r="E40" s="3" t="inlineStr">
        <is>
          <t>Congratulations @LaraLeaTrump &amp; @EricTrump on hosting an elegant benefit for @StJude last night.</t>
        </is>
      </c>
      <c r="F40" t="inlineStr">
        <is>
          <t>https://x.com/saylor/status/1887930241890287948</t>
        </is>
      </c>
      <c r="G40">
        <f>HYPERLINK("https://x.com/saylor/status/1887930241890287948","open")</f>
        <v/>
      </c>
    </row>
    <row r="41">
      <c r="A41" t="inlineStr">
        <is>
          <t>@saylor</t>
        </is>
      </c>
      <c r="B41" t="inlineStr">
        <is>
          <t>@EricTrump</t>
        </is>
      </c>
      <c r="C41" t="inlineStr">
        <is>
          <t>2025-02-06</t>
        </is>
      </c>
      <c r="D41" s="3" t="inlineStr">
        <is>
          <t>post</t>
        </is>
      </c>
      <c r="E41" s="3" t="inlineStr">
        <is>
          <t>No ₿etter Time 🚀</t>
        </is>
      </c>
      <c r="F41" t="inlineStr">
        <is>
          <t>https://x.com/saylor/status/1887328651860988384</t>
        </is>
      </c>
      <c r="G41">
        <f>HYPERLINK("https://x.com/saylor/status/1887328651860988384","open")</f>
        <v/>
      </c>
    </row>
    <row r="42">
      <c r="A42" t="inlineStr">
        <is>
          <t>@saylor</t>
        </is>
      </c>
      <c r="B42" t="inlineStr">
        <is>
          <t>@EricTrump</t>
        </is>
      </c>
      <c r="C42" t="inlineStr">
        <is>
          <t>2025-01-03</t>
        </is>
      </c>
      <c r="D42" s="3" t="inlineStr">
        <is>
          <t>post</t>
        </is>
      </c>
      <c r="E42" s="3" t="inlineStr">
        <is>
          <t>🚀</t>
        </is>
      </c>
      <c r="F42" t="inlineStr">
        <is>
          <t>https://x.com/saylor/status/1875037829757276193</t>
        </is>
      </c>
      <c r="G42">
        <f>HYPERLINK("https://x.com/saylor/status/1875037829757276193","open")</f>
        <v/>
      </c>
    </row>
    <row r="43">
      <c r="A43" t="inlineStr">
        <is>
          <t>@saylor</t>
        </is>
      </c>
      <c r="B43" t="inlineStr">
        <is>
          <t>@EricTrump</t>
        </is>
      </c>
      <c r="C43" t="inlineStr">
        <is>
          <t>2024-12-10</t>
        </is>
      </c>
      <c r="D43" s="3" t="inlineStr">
        <is>
          <t>post</t>
        </is>
      </c>
      <c r="E43" s="3" t="inlineStr">
        <is>
          <t>Today, @EricTrump shared his views on the significance of #Bitcoin and the role that he and @realDonaldTrump expect it to play in the future. The speech is extraordinary and I highly recommend watching it in full.</t>
        </is>
      </c>
      <c r="F43" t="inlineStr">
        <is>
          <t>https://x.com/saylor/status/1866539391184711873</t>
        </is>
      </c>
      <c r="G43">
        <f>HYPERLINK("https://x.com/saylor/status/1866539391184711873","open")</f>
        <v/>
      </c>
    </row>
    <row r="44">
      <c r="A44" t="inlineStr">
        <is>
          <t>@saylor</t>
        </is>
      </c>
      <c r="B44" t="inlineStr">
        <is>
          <t>@EricTrump</t>
        </is>
      </c>
      <c r="C44" t="inlineStr">
        <is>
          <t>2024-12-10</t>
        </is>
      </c>
      <c r="D44" s="3" t="inlineStr">
        <is>
          <t>post</t>
        </is>
      </c>
      <c r="E44" s="3" t="inlineStr">
        <is>
          <t>I am confident that it is going to hit $1 million.” - @EricTrump on #Bitcoin</t>
        </is>
      </c>
      <c r="F44" t="inlineStr">
        <is>
          <t>https://x.com/saylor/status/1866455426818093241</t>
        </is>
      </c>
      <c r="G44">
        <f>HYPERLINK("https://x.com/saylor/status/1866455426818093241","open")</f>
        <v/>
      </c>
    </row>
    <row r="45">
      <c r="A45" t="inlineStr">
        <is>
          <t>@saylor</t>
        </is>
      </c>
      <c r="B45" t="inlineStr">
        <is>
          <t>@EricTrump</t>
        </is>
      </c>
      <c r="C45" t="inlineStr">
        <is>
          <t>2024-12-05</t>
        </is>
      </c>
      <c r="D45" s="3" t="inlineStr">
        <is>
          <t>post</t>
        </is>
      </c>
      <c r="E45" s="3" t="inlineStr">
        <is>
          <t>🚀</t>
        </is>
      </c>
      <c r="F45" t="inlineStr">
        <is>
          <t>https://x.com/saylor/status/1864666516483920369</t>
        </is>
      </c>
      <c r="G45">
        <f>HYPERLINK("https://x.com/saylor/status/1864666516483920369","open")</f>
        <v/>
      </c>
    </row>
    <row r="46">
      <c r="A46" t="inlineStr">
        <is>
          <t>@DonaldJTrumpJr</t>
        </is>
      </c>
      <c r="B46" t="inlineStr">
        <is>
          <t>@elonmusk</t>
        </is>
      </c>
      <c r="C46" t="inlineStr">
        <is>
          <t>2024-11-27</t>
        </is>
      </c>
      <c r="D46" s="3" t="inlineStr">
        <is>
          <t>Daylight savings time post</t>
        </is>
      </c>
      <c r="E46" s="3" t="inlineStr">
        <is>
          <t>💯💯💯 leave it daylight savings time always.</t>
        </is>
      </c>
      <c r="F46" t="inlineStr">
        <is>
          <t>https://x.com/DonaldJTrumpJr/status/1861880248234828280</t>
        </is>
      </c>
      <c r="G46">
        <f>HYPERLINK("https://x.com/DonaldJTrumpJr/status/1861880248234828280","open")</f>
        <v/>
      </c>
    </row>
    <row r="47">
      <c r="A47" t="inlineStr">
        <is>
          <t>@DonaldJTrumpJr</t>
        </is>
      </c>
      <c r="B47" t="inlineStr">
        <is>
          <t>@elonmusk</t>
        </is>
      </c>
      <c r="C47" t="inlineStr">
        <is>
          <t>2024-09-05</t>
        </is>
      </c>
      <c r="D47" s="3" t="inlineStr">
        <is>
          <t>Post-Election Landscape post</t>
        </is>
      </c>
      <c r="E47" s="3" t="inlineStr">
        <is>
          <t>It’s crazy that we are at this point but here we are. He’s 100%</t>
        </is>
      </c>
      <c r="F47" t="inlineStr">
        <is>
          <t>https://x.com/DonaldJTrumpJr/status/1831679742405194057</t>
        </is>
      </c>
      <c r="G47">
        <f>HYPERLINK("https://x.com/DonaldJTrumpJr/status/1831679742405194057","open")</f>
        <v/>
      </c>
    </row>
    <row r="48">
      <c r="A48" t="inlineStr">
        <is>
          <t>@DonaldJTrumpJr</t>
        </is>
      </c>
      <c r="B48" t="inlineStr">
        <is>
          <t>@elonmusk</t>
        </is>
      </c>
      <c r="C48" t="inlineStr">
        <is>
          <t>2024-08-20</t>
        </is>
      </c>
      <c r="D48" s="3" t="inlineStr">
        <is>
          <t>Defiant post</t>
        </is>
      </c>
      <c r="E48" s="3" t="inlineStr">
        <is>
          <t>#BeDefiant</t>
        </is>
      </c>
      <c r="F48" t="inlineStr">
        <is>
          <t>https://x.com/DonaldJTrumpJr/status/1825863317463687369</t>
        </is>
      </c>
      <c r="G48">
        <f>HYPERLINK("https://x.com/DonaldJTrumpJr/status/1825863317463687369","open")</f>
        <v/>
      </c>
    </row>
    <row r="49">
      <c r="A49" t="inlineStr">
        <is>
          <t>@DonaldJTrumpJr</t>
        </is>
      </c>
      <c r="B49" t="inlineStr">
        <is>
          <t>@elonmusk</t>
        </is>
      </c>
      <c r="C49" t="inlineStr">
        <is>
          <t>2023-05-30</t>
        </is>
      </c>
      <c r="D49" s="3" t="inlineStr">
        <is>
          <t>AI post</t>
        </is>
      </c>
      <c r="E49" s="3" t="inlineStr">
        <is>
          <t>The Terminator</t>
        </is>
      </c>
      <c r="F49" t="inlineStr">
        <is>
          <t>https://x.com/DonaldJTrumpJr/status/1663325665620541441</t>
        </is>
      </c>
      <c r="G49">
        <f>HYPERLINK("https://x.com/DonaldJTrumpJr/status/1663325665620541441","open")</f>
        <v/>
      </c>
    </row>
    <row r="50">
      <c r="A50" t="inlineStr">
        <is>
          <t>@ryancohen</t>
        </is>
      </c>
      <c r="B50" t="inlineStr">
        <is>
          <t>@elonmusk</t>
        </is>
      </c>
      <c r="C50" t="inlineStr">
        <is>
          <t>2022-04-17</t>
        </is>
      </c>
      <c r="D50" s="3" t="inlineStr">
        <is>
          <t>Twitter board share ownership</t>
        </is>
      </c>
      <c r="E50" s="3" t="inlineStr">
        <is>
          <t>Unfortunately, like the vast majority of public companies. Welcome to the world of activism. Power to the players. 🏴‍☠️</t>
        </is>
      </c>
      <c r="F50" t="inlineStr">
        <is>
          <t>https://x.com/ryancohen/status/1515770539305943041</t>
        </is>
      </c>
      <c r="G50">
        <f>HYPERLINK("https://x.com/ryancohen/status/1515770539305943041","open")</f>
        <v/>
      </c>
    </row>
  </sheetData>
  <autoFilter ref="A1:G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from_handle</t>
        </is>
      </c>
      <c r="B1" s="1" t="inlineStr">
        <is>
          <t>to_handle</t>
        </is>
      </c>
      <c r="C1" s="1" t="inlineStr">
        <is>
          <t>date</t>
        </is>
      </c>
      <c r="D1" s="2" t="inlineStr">
        <is>
          <t>subject</t>
        </is>
      </c>
      <c r="E1" s="2" t="inlineStr">
        <is>
          <t>tweet_text</t>
        </is>
      </c>
      <c r="F1" s="1" t="inlineStr">
        <is>
          <t>url</t>
        </is>
      </c>
      <c r="G1" s="1" t="inlineStr">
        <is>
          <t>link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60" customWidth="1" min="5" max="5"/>
    <col width="53" customWidth="1" min="6" max="6"/>
    <col width="60" customWidth="1" min="7" max="7"/>
  </cols>
  <sheetData>
    <row r="1">
      <c r="A1" s="1" t="inlineStr">
        <is>
          <t>from_handle</t>
        </is>
      </c>
      <c r="B1" s="1" t="inlineStr">
        <is>
          <t>to_handle</t>
        </is>
      </c>
      <c r="C1" s="1" t="inlineStr">
        <is>
          <t>date</t>
        </is>
      </c>
      <c r="D1" s="2" t="inlineStr">
        <is>
          <t>subject</t>
        </is>
      </c>
      <c r="E1" s="2" t="inlineStr">
        <is>
          <t>tweet_text</t>
        </is>
      </c>
      <c r="F1" s="1" t="inlineStr">
        <is>
          <t>url</t>
        </is>
      </c>
      <c r="G1" s="1" t="inlineStr">
        <is>
          <t>link</t>
        </is>
      </c>
    </row>
    <row r="2">
      <c r="A2" t="inlineStr">
        <is>
          <t>@JIMMYEDGAR</t>
        </is>
      </c>
      <c r="B2" t="inlineStr">
        <is>
          <t>@SHL0MS</t>
        </is>
      </c>
      <c r="C2" t="inlineStr">
        <is>
          <t>2025-10-18</t>
        </is>
      </c>
      <c r="D2" s="3" t="inlineStr">
        <is>
          <t>post</t>
        </is>
      </c>
      <c r="E2" s="3" t="inlineStr">
        <is>
          <t>it’s a tangled web we weave</t>
        </is>
      </c>
      <c r="F2" t="inlineStr">
        <is>
          <t>https://x.com/JIMMYEDGAR/status/1979698334836425107</t>
        </is>
      </c>
      <c r="G2">
        <f>HYPERLINK("https://x.com/JIMMYEDGAR/status/1979698334836425107","open")</f>
        <v/>
      </c>
    </row>
    <row r="3">
      <c r="A3" t="inlineStr">
        <is>
          <t>@JIMMYEDGAR</t>
        </is>
      </c>
      <c r="B3" t="inlineStr">
        <is>
          <t>@SHL0MS</t>
        </is>
      </c>
      <c r="C3" t="inlineStr">
        <is>
          <t>2025-10-18</t>
        </is>
      </c>
      <c r="D3" s="3" t="inlineStr">
        <is>
          <t>post</t>
        </is>
      </c>
      <c r="E3" s="3" t="inlineStr">
        <is>
          <t>one mind</t>
        </is>
      </c>
      <c r="F3" t="inlineStr">
        <is>
          <t>https://x.com/JIMMYEDGAR/status/1979697917092045158</t>
        </is>
      </c>
      <c r="G3">
        <f>HYPERLINK("https://x.com/JIMMYEDGAR/status/1979697917092045158","open")</f>
        <v/>
      </c>
    </row>
    <row r="4">
      <c r="A4" t="inlineStr">
        <is>
          <t>@SHL0MS</t>
        </is>
      </c>
      <c r="B4" t="inlineStr">
        <is>
          <t>@JIMMYEDGAR</t>
        </is>
      </c>
      <c r="C4" t="inlineStr">
        <is>
          <t>2025-10-18</t>
        </is>
      </c>
      <c r="D4" s="3" t="inlineStr">
        <is>
          <t>post</t>
        </is>
      </c>
      <c r="E4" s="3" t="inlineStr">
        <is>
          <t>(No text content)</t>
        </is>
      </c>
      <c r="F4" t="inlineStr">
        <is>
          <t>https://x.com/SHL0MS/status/1979698151859892716</t>
        </is>
      </c>
      <c r="G4">
        <f>HYPERLINK("https://x.com/SHL0MS/status/1979698151859892716","open")</f>
        <v/>
      </c>
    </row>
    <row r="5">
      <c r="A5" t="inlineStr">
        <is>
          <t>@JIMMYEDGAR</t>
        </is>
      </c>
      <c r="B5" t="inlineStr">
        <is>
          <t>@SHL0MS</t>
        </is>
      </c>
      <c r="C5" t="inlineStr">
        <is>
          <t>2025-10-17</t>
        </is>
      </c>
      <c r="D5" s="3" t="inlineStr">
        <is>
          <t>post</t>
        </is>
      </c>
      <c r="E5" s="3" t="inlineStr">
        <is>
          <t>besties</t>
        </is>
      </c>
      <c r="F5" t="inlineStr">
        <is>
          <t>https://x.com/JIMMYEDGAR/status/1979230450993201299</t>
        </is>
      </c>
      <c r="G5">
        <f>HYPERLINK("https://x.com/JIMMYEDGAR/status/1979230450993201299","open")</f>
        <v/>
      </c>
    </row>
    <row r="6">
      <c r="A6" t="inlineStr">
        <is>
          <t>@JIMMYEDGAR</t>
        </is>
      </c>
      <c r="B6" t="inlineStr">
        <is>
          <t>@SHL0MS</t>
        </is>
      </c>
      <c r="C6" t="inlineStr">
        <is>
          <t>2025-10-17</t>
        </is>
      </c>
      <c r="D6" s="3" t="inlineStr">
        <is>
          <t>post</t>
        </is>
      </c>
      <c r="E6" s="3" t="inlineStr">
        <is>
          <t>If I think of the 3 most culturally blockchain relevant artists in the world - it's obviously @jackbutcher @SHL0MS and jimmu</t>
        </is>
      </c>
      <c r="F6" t="inlineStr">
        <is>
          <t>https://x.com/JIMMYEDGAR/status/1979229973027131871</t>
        </is>
      </c>
      <c r="G6">
        <f>HYPERLINK("https://x.com/JIMMYEDGAR/status/1979229973027131871","open")</f>
        <v/>
      </c>
    </row>
    <row r="7">
      <c r="A7" t="inlineStr">
        <is>
          <t>@SHL0MS</t>
        </is>
      </c>
      <c r="B7" t="inlineStr">
        <is>
          <t>@JIMMYEDGAR</t>
        </is>
      </c>
      <c r="C7" t="inlineStr">
        <is>
          <t>2025-10-17</t>
        </is>
      </c>
      <c r="D7" s="3" t="inlineStr">
        <is>
          <t>post</t>
        </is>
      </c>
      <c r="E7" s="3" t="inlineStr">
        <is>
          <t>the Father</t>
        </is>
      </c>
      <c r="F7" t="inlineStr">
        <is>
          <t>https://x.com/SHL0MS/status/1979230589690552639</t>
        </is>
      </c>
      <c r="G7">
        <f>HYPERLINK("https://x.com/SHL0MS/status/1979230589690552639","open")</f>
        <v/>
      </c>
    </row>
    <row r="8">
      <c r="A8" t="inlineStr">
        <is>
          <t>@SHL0MS</t>
        </is>
      </c>
      <c r="B8" t="inlineStr">
        <is>
          <t>@JIMMYEDGAR</t>
        </is>
      </c>
      <c r="C8" t="inlineStr">
        <is>
          <t>2025-10-17</t>
        </is>
      </c>
      <c r="D8" s="3" t="inlineStr">
        <is>
          <t>post</t>
        </is>
      </c>
      <c r="E8" s="3" t="inlineStr">
        <is>
          <t>because they are pretty much a derivative of everyone else</t>
        </is>
      </c>
      <c r="F8" t="inlineStr">
        <is>
          <t>https://x.com/SHL0MS/status/1979230162924286172</t>
        </is>
      </c>
      <c r="G8">
        <f>HYPERLINK("https://x.com/SHL0MS/status/1979230162924286172","open")</f>
        <v/>
      </c>
    </row>
    <row r="9">
      <c r="A9" t="inlineStr">
        <is>
          <t>@JIMMYEDGAR</t>
        </is>
      </c>
      <c r="B9" t="inlineStr">
        <is>
          <t>@SHL0MS</t>
        </is>
      </c>
      <c r="C9" t="inlineStr">
        <is>
          <t>2025-09-03</t>
        </is>
      </c>
      <c r="D9" s="3" t="inlineStr">
        <is>
          <t>post</t>
        </is>
      </c>
      <c r="E9" s="3" t="inlineStr">
        <is>
          <t>i wanna be one too</t>
        </is>
      </c>
      <c r="F9" t="inlineStr">
        <is>
          <t>https://x.com/JIMMYEDGAR/status/1979017443763732723</t>
        </is>
      </c>
      <c r="G9">
        <f>HYPERLINK("https://x.com/JIMMYEDGAR/status/1979017443763732723","open")</f>
        <v/>
      </c>
    </row>
    <row r="10">
      <c r="A10" t="inlineStr">
        <is>
          <t>@SHL0MS</t>
        </is>
      </c>
      <c r="B10" t="inlineStr">
        <is>
          <t>@JIMMYEDGAR</t>
        </is>
      </c>
      <c r="C10" t="inlineStr">
        <is>
          <t>2025-07-13</t>
        </is>
      </c>
      <c r="D10" s="3" t="inlineStr">
        <is>
          <t>post</t>
        </is>
      </c>
      <c r="E10" s="3" t="inlineStr">
        <is>
          <t>also sad about the good art that will never be conceived</t>
        </is>
      </c>
      <c r="F10" t="inlineStr">
        <is>
          <t>https://x.com/SHL0MS/status/1944191496908890318</t>
        </is>
      </c>
      <c r="G10">
        <f>HYPERLINK("https://x.com/SHL0MS/status/1944191496908890318","open")</f>
        <v/>
      </c>
    </row>
    <row r="11">
      <c r="A11" t="inlineStr">
        <is>
          <t>@JIMMYEDGAR</t>
        </is>
      </c>
      <c r="B11" t="inlineStr">
        <is>
          <t>@SHL0MS</t>
        </is>
      </c>
      <c r="C11" t="inlineStr">
        <is>
          <t>2025-07-04</t>
        </is>
      </c>
      <c r="D11" s="3" t="inlineStr">
        <is>
          <t>post</t>
        </is>
      </c>
      <c r="E11" s="3" t="inlineStr">
        <is>
          <t>do me</t>
        </is>
      </c>
      <c r="F11" t="inlineStr">
        <is>
          <t>https://x.com/JIMMYEDGAR/status/1940938622209085761</t>
        </is>
      </c>
      <c r="G11">
        <f>HYPERLINK("https://x.com/JIMMYEDGAR/status/1940938622209085761","open")</f>
        <v/>
      </c>
    </row>
    <row r="12">
      <c r="A12" t="inlineStr">
        <is>
          <t>@SHL0MS</t>
        </is>
      </c>
      <c r="B12" t="inlineStr">
        <is>
          <t>@JIMMYEDGAR</t>
        </is>
      </c>
      <c r="C12" t="inlineStr">
        <is>
          <t>2025-07-04</t>
        </is>
      </c>
      <c r="D12" s="3" t="inlineStr">
        <is>
          <t>post</t>
        </is>
      </c>
      <c r="E12" s="3" t="inlineStr">
        <is>
          <t>guy who starts a DAO no one fully understands and their followers type yeehu" for unknown reasons"</t>
        </is>
      </c>
      <c r="F12" t="inlineStr">
        <is>
          <t>https://x.com/SHL0MS/status/1940943597517656565</t>
        </is>
      </c>
      <c r="G12">
        <f>HYPERLINK("https://x.com/SHL0MS/status/1940943597517656565","open")</f>
        <v/>
      </c>
    </row>
    <row r="13">
      <c r="A13" t="inlineStr">
        <is>
          <t>@JIMMYEDGAR</t>
        </is>
      </c>
      <c r="B13" t="inlineStr">
        <is>
          <t>@SHL0MS</t>
        </is>
      </c>
      <c r="C13" t="inlineStr">
        <is>
          <t>2025-07-02</t>
        </is>
      </c>
      <c r="D13" s="3" t="inlineStr">
        <is>
          <t>post</t>
        </is>
      </c>
      <c r="E13" s="3" t="inlineStr">
        <is>
          <t>there is something in this</t>
        </is>
      </c>
      <c r="F13" t="inlineStr">
        <is>
          <t>https://x.com/JIMMYEDGAR/status/1940553657533321680</t>
        </is>
      </c>
      <c r="G13">
        <f>HYPERLINK("https://x.com/JIMMYEDGAR/status/1940553657533321680","open")</f>
        <v/>
      </c>
    </row>
    <row r="14">
      <c r="A14" t="inlineStr">
        <is>
          <t>@JIMMYEDGAR</t>
        </is>
      </c>
      <c r="B14" t="inlineStr">
        <is>
          <t>@SHL0MS</t>
        </is>
      </c>
      <c r="C14" t="inlineStr">
        <is>
          <t>2025-06-11</t>
        </is>
      </c>
      <c r="D14" s="3" t="inlineStr">
        <is>
          <t>post</t>
        </is>
      </c>
      <c r="E14" s="3" t="inlineStr">
        <is>
          <t>shl0ms ftw</t>
        </is>
      </c>
      <c r="F14" t="inlineStr">
        <is>
          <t>https://x.com/JIMMYEDGAR/status/1979230589690552639</t>
        </is>
      </c>
      <c r="G14">
        <f>HYPERLINK("https://x.com/JIMMYEDGAR/status/1979230589690552639","open")</f>
        <v/>
      </c>
    </row>
    <row r="15">
      <c r="A15" t="inlineStr">
        <is>
          <t>@JIMMYEDGAR</t>
        </is>
      </c>
      <c r="B15" t="inlineStr">
        <is>
          <t>@SHL0MS</t>
        </is>
      </c>
      <c r="C15" t="inlineStr">
        <is>
          <t>2025-06-11</t>
        </is>
      </c>
      <c r="D15" s="3" t="inlineStr">
        <is>
          <t>post</t>
        </is>
      </c>
      <c r="E15" s="3" t="inlineStr">
        <is>
          <t>virgo vibes</t>
        </is>
      </c>
      <c r="F15" t="inlineStr">
        <is>
          <t>https://x.com/JIMMYEDGAR/status/1932936560036470866</t>
        </is>
      </c>
      <c r="G15">
        <f>HYPERLINK("https://x.com/JIMMYEDGAR/status/1932936560036470866","open")</f>
        <v/>
      </c>
    </row>
  </sheetData>
  <autoFilter ref="A1:G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32" customWidth="1" min="4" max="4"/>
    <col width="60" customWidth="1" min="5" max="5"/>
    <col width="58" customWidth="1" min="6" max="6"/>
    <col width="60" customWidth="1" min="7" max="7"/>
  </cols>
  <sheetData>
    <row r="1">
      <c r="A1" s="1" t="inlineStr">
        <is>
          <t>from_handle</t>
        </is>
      </c>
      <c r="B1" s="1" t="inlineStr">
        <is>
          <t>to_handle</t>
        </is>
      </c>
      <c r="C1" s="1" t="inlineStr">
        <is>
          <t>date</t>
        </is>
      </c>
      <c r="D1" s="2" t="inlineStr">
        <is>
          <t>subject</t>
        </is>
      </c>
      <c r="E1" s="2" t="inlineStr">
        <is>
          <t>tweet_text</t>
        </is>
      </c>
      <c r="F1" s="1" t="inlineStr">
        <is>
          <t>url</t>
        </is>
      </c>
      <c r="G1" s="1" t="inlineStr">
        <is>
          <t>link</t>
        </is>
      </c>
    </row>
    <row r="2">
      <c r="A2" t="inlineStr">
        <is>
          <t>@greg16676935420</t>
        </is>
      </c>
      <c r="B2" t="inlineStr">
        <is>
          <t>@ryancohen</t>
        </is>
      </c>
      <c r="C2" t="inlineStr">
        <is>
          <t>2025-10-23</t>
        </is>
      </c>
      <c r="D2" s="3" t="inlineStr">
        <is>
          <t>Mario Kart challenge</t>
        </is>
      </c>
      <c r="E2" s="3" t="inlineStr">
        <is>
          <t>Just turned on my N64 come on over</t>
        </is>
      </c>
      <c r="F2" t="inlineStr">
        <is>
          <t>https://x.com/greg16676935420/status/1981169595492028503</t>
        </is>
      </c>
      <c r="G2">
        <f>HYPERLINK("https://x.com/greg16676935420/status/1981169595492028503","open")</f>
        <v/>
      </c>
    </row>
    <row r="3">
      <c r="A3" t="inlineStr">
        <is>
          <t>@larryvc</t>
        </is>
      </c>
      <c r="B3" t="inlineStr">
        <is>
          <t>@ryancohen</t>
        </is>
      </c>
      <c r="C3" t="inlineStr">
        <is>
          <t>2025-10-04</t>
        </is>
      </c>
      <c r="D3" s="3" t="inlineStr">
        <is>
          <t>Bitcoin post</t>
        </is>
      </c>
      <c r="E3" s="3" t="inlineStr">
        <is>
          <t>$GME</t>
        </is>
      </c>
      <c r="F3" t="inlineStr">
        <is>
          <t>https://x.com/larryvc/status/1974304963548623243</t>
        </is>
      </c>
      <c r="G3">
        <f>HYPERLINK("https://x.com/larryvc/status/1974304963548623243","open")</f>
        <v/>
      </c>
    </row>
    <row r="4">
      <c r="A4" t="inlineStr">
        <is>
          <t>@saylor</t>
        </is>
      </c>
      <c r="B4" t="inlineStr">
        <is>
          <t>@ryancohen</t>
        </is>
      </c>
      <c r="C4" t="inlineStr">
        <is>
          <t>2025-07-14</t>
        </is>
      </c>
      <c r="D4" s="3" t="inlineStr">
        <is>
          <t>Bitcoin price post</t>
        </is>
      </c>
      <c r="E4" s="3" t="inlineStr">
        <is>
          <t>A ₿uying Opportunity</t>
        </is>
      </c>
      <c r="F4" t="inlineStr">
        <is>
          <t>https://x.com/saylor/status/1944558457589211552</t>
        </is>
      </c>
      <c r="G4">
        <f>HYPERLINK("https://x.com/saylor/status/1944558457589211552","open")</f>
        <v/>
      </c>
    </row>
    <row r="5">
      <c r="A5" t="inlineStr">
        <is>
          <t>@natsturner</t>
        </is>
      </c>
      <c r="B5" t="inlineStr">
        <is>
          <t>@ryancohen</t>
        </is>
      </c>
      <c r="C5" t="inlineStr">
        <is>
          <t>2025-07-09</t>
        </is>
      </c>
      <c r="D5" s="3" t="inlineStr">
        <is>
          <t>auction post</t>
        </is>
      </c>
      <c r="E5" s="3" t="inlineStr">
        <is>
          <t>would grade anything @ryancohen touches</t>
        </is>
      </c>
      <c r="F5" t="inlineStr">
        <is>
          <t>https://x.com/natsturner/status/1943065656443760956</t>
        </is>
      </c>
      <c r="G5">
        <f>HYPERLINK("https://x.com/natsturner/status/1943065656443760956","open")</f>
        <v/>
      </c>
    </row>
    <row r="6">
      <c r="A6" t="inlineStr">
        <is>
          <t>@larryvc</t>
        </is>
      </c>
      <c r="B6" t="inlineStr">
        <is>
          <t>@ryancohen</t>
        </is>
      </c>
      <c r="C6" t="inlineStr">
        <is>
          <t>2025-05-14</t>
        </is>
      </c>
      <c r="D6" s="3" t="inlineStr">
        <is>
          <t>Bitcoin post</t>
        </is>
      </c>
      <c r="E6" s="3" t="inlineStr">
        <is>
          <t>$GME</t>
        </is>
      </c>
      <c r="F6" t="inlineStr">
        <is>
          <t>https://x.com/larryvc/status/1927776107253678368</t>
        </is>
      </c>
      <c r="G6">
        <f>HYPERLINK("https://x.com/larryvc/status/1927776107253678368","open")</f>
        <v/>
      </c>
    </row>
    <row r="7">
      <c r="A7" t="inlineStr">
        <is>
          <t>@larryvc</t>
        </is>
      </c>
      <c r="B7" t="inlineStr">
        <is>
          <t>@ryancohen</t>
        </is>
      </c>
      <c r="C7" t="inlineStr">
        <is>
          <t>2025-05-14</t>
        </is>
      </c>
      <c r="D7" s="3" t="inlineStr">
        <is>
          <t>post</t>
        </is>
      </c>
      <c r="E7" s="3" t="inlineStr">
        <is>
          <t>$GME</t>
        </is>
      </c>
      <c r="F7" t="inlineStr">
        <is>
          <t>https://x.com/larryvc/status/1927685156833223007</t>
        </is>
      </c>
      <c r="G7">
        <f>HYPERLINK("https://x.com/larryvc/status/1927685156833223007","open")</f>
        <v/>
      </c>
    </row>
    <row r="8">
      <c r="A8" t="inlineStr">
        <is>
          <t>@larryvc</t>
        </is>
      </c>
      <c r="B8" t="inlineStr">
        <is>
          <t>@ryancohen</t>
        </is>
      </c>
      <c r="C8" t="inlineStr">
        <is>
          <t>2025-04-14</t>
        </is>
      </c>
      <c r="D8" s="3" t="inlineStr">
        <is>
          <t>GameStop post</t>
        </is>
      </c>
      <c r="E8" s="3" t="inlineStr">
        <is>
          <t>I just want to acknowledge one of @gamestop’s very best customers...</t>
        </is>
      </c>
      <c r="F8" t="inlineStr">
        <is>
          <t>https://x.com/larryvc/status/1912610404364365900</t>
        </is>
      </c>
      <c r="G8">
        <f>HYPERLINK("https://x.com/larryvc/status/1912610404364365900","open")</f>
        <v/>
      </c>
    </row>
    <row r="9">
      <c r="A9" t="inlineStr">
        <is>
          <t>@saylor</t>
        </is>
      </c>
      <c r="B9" t="inlineStr">
        <is>
          <t>@ryancohen</t>
        </is>
      </c>
      <c r="C9" t="inlineStr">
        <is>
          <t>2025-04-03</t>
        </is>
      </c>
      <c r="D9" s="3" t="inlineStr">
        <is>
          <t>Bitcoin sale post</t>
        </is>
      </c>
      <c r="E9" s="3" t="inlineStr">
        <is>
          <t>Bitcoin is on sale, Ryan.</t>
        </is>
      </c>
      <c r="F9" t="inlineStr">
        <is>
          <t>https://x.com/saylor/status/1907910614959509773</t>
        </is>
      </c>
      <c r="G9">
        <f>HYPERLINK("https://x.com/saylor/status/1907910614959509773","open")</f>
        <v/>
      </c>
    </row>
    <row r="10">
      <c r="A10" t="inlineStr">
        <is>
          <t>@saylor</t>
        </is>
      </c>
      <c r="B10" t="inlineStr">
        <is>
          <t>@ryancohen</t>
        </is>
      </c>
      <c r="C10" t="inlineStr">
        <is>
          <t>2025-03-25</t>
        </is>
      </c>
      <c r="D10" s="3" t="inlineStr">
        <is>
          <t>GameStop Bitcoin announcement</t>
        </is>
      </c>
      <c r="E10" s="3" t="inlineStr">
        <is>
          <t>A step in the right direction.</t>
        </is>
      </c>
      <c r="F10" t="inlineStr">
        <is>
          <t>https://x.com/saylor/status/1904659019681145214</t>
        </is>
      </c>
      <c r="G10">
        <f>HYPERLINK("https://x.com/saylor/status/1904659019681145214","open")</f>
        <v/>
      </c>
    </row>
    <row r="11">
      <c r="A11" t="inlineStr">
        <is>
          <t>@saylor</t>
        </is>
      </c>
      <c r="B11" t="inlineStr">
        <is>
          <t>@ryancohen</t>
        </is>
      </c>
      <c r="C11" t="inlineStr">
        <is>
          <t>2025-03-25</t>
        </is>
      </c>
      <c r="D11" s="3" t="inlineStr">
        <is>
          <t>Bitcoin post</t>
        </is>
      </c>
      <c r="E11" s="3" t="inlineStr">
        <is>
          <t>Welcome to Team Bitcoin, @RyanCohen. $GME 🚀</t>
        </is>
      </c>
      <c r="F11" t="inlineStr">
        <is>
          <t>https://x.com/saylor/status/1904656304200962239</t>
        </is>
      </c>
      <c r="G11">
        <f>HYPERLINK("https://x.com/saylor/status/1904656304200962239","open")</f>
        <v/>
      </c>
    </row>
    <row r="12">
      <c r="A12" t="inlineStr">
        <is>
          <t>@ryancohen</t>
        </is>
      </c>
      <c r="B12" t="inlineStr">
        <is>
          <t>@itswooch</t>
        </is>
      </c>
      <c r="C12" t="inlineStr">
        <is>
          <t>2023-06-18</t>
        </is>
      </c>
      <c r="D12" s="3" t="inlineStr">
        <is>
          <t>shadowban list including Cohen</t>
        </is>
      </c>
      <c r="E12" s="3" t="inlineStr">
        <is>
          <t>I believe so</t>
        </is>
      </c>
      <c r="F12" t="inlineStr">
        <is>
          <t>https://x.com/ryancohen/status/1670565004909871105</t>
        </is>
      </c>
      <c r="G12">
        <f>HYPERLINK("https://x.com/ryancohen/status/1670565004909871105","open")</f>
        <v/>
      </c>
    </row>
    <row r="13">
      <c r="A13" t="inlineStr">
        <is>
          <t>@ryancohen</t>
        </is>
      </c>
      <c r="B13" t="inlineStr">
        <is>
          <t>@lawsondt</t>
        </is>
      </c>
      <c r="C13" t="inlineStr">
        <is>
          <t>2022-11-24</t>
        </is>
      </c>
      <c r="D13" s="3" t="inlineStr">
        <is>
          <t>tweet suppression</t>
        </is>
      </c>
      <c r="E13" s="3" t="inlineStr">
        <is>
          <t>My tweets seem to be suppressed.</t>
        </is>
      </c>
      <c r="F13" t="inlineStr">
        <is>
          <t>https://x.com/ryancohen/status/1595615782117208069</t>
        </is>
      </c>
      <c r="G13">
        <f>HYPERLINK("https://x.com/ryancohen/status/1595615782117208069","open")</f>
        <v/>
      </c>
    </row>
    <row r="14">
      <c r="A14" t="inlineStr">
        <is>
          <t>@ryancohen</t>
        </is>
      </c>
      <c r="B14" t="inlineStr">
        <is>
          <t>@elonmusk</t>
        </is>
      </c>
      <c r="C14" t="inlineStr">
        <is>
          <t>2022-04-17</t>
        </is>
      </c>
      <c r="D14" s="3" t="inlineStr">
        <is>
          <t>Twitter board share ownership</t>
        </is>
      </c>
      <c r="E14" s="3" t="inlineStr">
        <is>
          <t>Unfortunately, like the vast majority of public companies. Welcome to the world of activism. Power to the players. 🏴‍☠️</t>
        </is>
      </c>
      <c r="F14" t="inlineStr">
        <is>
          <t>https://x.com/ryancohen/status/1515770539305943041</t>
        </is>
      </c>
      <c r="G14">
        <f>HYPERLINK("https://x.com/ryancohen/status/1515770539305943041","open")</f>
        <v/>
      </c>
    </row>
    <row r="15">
      <c r="A15" t="inlineStr">
        <is>
          <t>@collectors</t>
        </is>
      </c>
      <c r="B15" t="inlineStr">
        <is>
          <t>@DanSilvershein</t>
        </is>
      </c>
      <c r="C15" t="inlineStr">
        <is>
          <t>2022-04-15</t>
        </is>
      </c>
      <c r="D15" s="3" t="inlineStr">
        <is>
          <t>joining announcement</t>
        </is>
      </c>
      <c r="E15" s="3" t="inlineStr">
        <is>
          <t>Welcome aboard!! 🤝</t>
        </is>
      </c>
      <c r="F15" t="inlineStr">
        <is>
          <t>https://x.com/collectors/status/1515089817893187587</t>
        </is>
      </c>
      <c r="G15">
        <f>HYPERLINK("https://x.com/collectors/status/1515089817893187587","open")</f>
        <v/>
      </c>
    </row>
    <row r="16">
      <c r="A16" t="inlineStr">
        <is>
          <t>@collectors</t>
        </is>
      </c>
      <c r="B16" t="inlineStr">
        <is>
          <t>@PSAcard</t>
        </is>
      </c>
      <c r="C16" t="inlineStr">
        <is>
          <t>2022-03-31</t>
        </is>
      </c>
      <c r="D16" s="3" t="inlineStr">
        <is>
          <t>The PSA Pod episode</t>
        </is>
      </c>
      <c r="E16" s="3" t="inlineStr">
        <is>
          <t>Collectors CPO Ryan Hoge joined @PSAcard's 'The PSA Pod'...</t>
        </is>
      </c>
      <c r="F16" t="inlineStr">
        <is>
          <t>https://x.com/collectors/status/1509635237210308636</t>
        </is>
      </c>
      <c r="G16">
        <f>HYPERLINK("https://x.com/collectors/status/1509635237210308636","open")</f>
        <v/>
      </c>
    </row>
    <row r="17">
      <c r="A17" t="inlineStr">
        <is>
          <t>@collectors</t>
        </is>
      </c>
      <c r="B17" t="inlineStr">
        <is>
          <t>@PSAcard</t>
        </is>
      </c>
      <c r="C17" t="inlineStr">
        <is>
          <t>2022-03-30</t>
        </is>
      </c>
      <c r="D17" s="3" t="inlineStr">
        <is>
          <t>rebrand post</t>
        </is>
      </c>
      <c r="E17" s="3" t="inlineStr">
        <is>
          <t>🤝</t>
        </is>
      </c>
      <c r="F17" t="inlineStr">
        <is>
          <t>https://x.com/collectors/status/1509214258218749953</t>
        </is>
      </c>
      <c r="G17">
        <f>HYPERLINK("https://x.com/collectors/status/1509214258218749953","open")</f>
        <v/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2025-11-03T06:42:17Z</dcterms:created>
  <dcterms:modified xmlns:dcterms="http://purl.org/dc/terms/" xmlns:xsi="http://www.w3.org/2001/XMLSchema-instance" xsi:type="dcterms:W3CDTF">2025-11-03T06:42:17Z</dcterms:modified>
</cp:coreProperties>
</file>